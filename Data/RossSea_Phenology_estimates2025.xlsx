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Github/SAR_RossSea_compare/SAR_RossSea_compare/Data/"/>
    </mc:Choice>
  </mc:AlternateContent>
  <xr:revisionPtr revIDLastSave="756" documentId="8_{C36C3FC0-118D-426B-A4A0-6E6EFE06D4BA}" xr6:coauthVersionLast="47" xr6:coauthVersionMax="47" xr10:uidLastSave="{0075C2C9-A218-4A64-9024-B5B4D006EC64}"/>
  <bookViews>
    <workbookView xWindow="28680" yWindow="555" windowWidth="29040" windowHeight="15720" activeTab="5" xr2:uid="{D741B97E-D510-4026-838A-5DA85EBB5CBC}"/>
  </bookViews>
  <sheets>
    <sheet name="full combined" sheetId="9" r:id="rId1"/>
    <sheet name="SAR 2025" sheetId="1" r:id="rId2"/>
    <sheet name="SAR 2024" sheetId="6" r:id="rId3"/>
    <sheet name="SAR BP" sheetId="5" r:id="rId4"/>
    <sheet name="VHR" sheetId="2" r:id="rId5"/>
    <sheet name="Chicks" sheetId="8" r:id="rId6"/>
    <sheet name="VHR areas" sheetId="7" r:id="rId7"/>
    <sheet name="density model VHR" sheetId="4" r:id="rId8"/>
    <sheet name="combined" sheetId="3" r:id="rId9"/>
  </sheets>
  <definedNames>
    <definedName name="_xlnm._FilterDatabase" localSheetId="0" hidden="1">'full combined'!$A$1:$AU$1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" i="5" l="1"/>
  <c r="V3" i="5"/>
  <c r="V4" i="5"/>
  <c r="V5" i="5"/>
  <c r="V6" i="5"/>
  <c r="V7" i="5"/>
  <c r="V8" i="5"/>
  <c r="V10" i="5"/>
  <c r="V11" i="5"/>
  <c r="V12" i="5"/>
  <c r="V13" i="5"/>
  <c r="V9" i="5"/>
  <c r="AQ65" i="3"/>
  <c r="AP65" i="3"/>
  <c r="AO65" i="3"/>
  <c r="AQ57" i="3"/>
  <c r="AP57" i="3"/>
  <c r="AO57" i="3"/>
  <c r="AQ49" i="3"/>
  <c r="AP49" i="3"/>
  <c r="AO49" i="3"/>
  <c r="AQ41" i="3"/>
  <c r="AP41" i="3"/>
  <c r="AO41" i="3"/>
  <c r="AQ33" i="3"/>
  <c r="AP33" i="3"/>
  <c r="AO33" i="3"/>
  <c r="AQ32" i="3"/>
  <c r="AP32" i="3"/>
  <c r="AO32" i="3"/>
  <c r="AQ31" i="3"/>
  <c r="AP31" i="3"/>
  <c r="AO31" i="3"/>
  <c r="AQ20" i="3"/>
  <c r="AP20" i="3"/>
  <c r="AO20" i="3"/>
  <c r="AQ8" i="3"/>
  <c r="AP8" i="3"/>
</calcChain>
</file>

<file path=xl/sharedStrings.xml><?xml version="1.0" encoding="utf-8"?>
<sst xmlns="http://schemas.openxmlformats.org/spreadsheetml/2006/main" count="3724" uniqueCount="1085">
  <si>
    <t>Beaufort</t>
  </si>
  <si>
    <t>BEAU</t>
  </si>
  <si>
    <t>2025-04-24-11-17-15_UMBRA-05_MM</t>
  </si>
  <si>
    <t>ascending</t>
  </si>
  <si>
    <t>VV</t>
  </si>
  <si>
    <t>rough</t>
  </si>
  <si>
    <t>11:17:15 UTC</t>
  </si>
  <si>
    <t>3.6136295795440674</t>
  </si>
  <si>
    <t>254.16360473632807</t>
  </si>
  <si>
    <t>252.0032958984375</t>
  </si>
  <si>
    <t>82.89353259337175</t>
  </si>
  <si>
    <t>6.324347087112405</t>
  </si>
  <si>
    <t>7.058776066284709</t>
  </si>
  <si>
    <t>2025-05-22-11-29-03_UMBRA-05_MM</t>
  </si>
  <si>
    <t>11:29:03 UTC</t>
  </si>
  <si>
    <t>3.013632535934448</t>
  </si>
  <si>
    <t>82.15506704785994</t>
  </si>
  <si>
    <t>248.1046905517578</t>
  </si>
  <si>
    <t>67.36860075076974</t>
  </si>
  <si>
    <t>5.826514734009166</t>
  </si>
  <si>
    <t>6.466429946481095</t>
  </si>
  <si>
    <t>5.198196542075497</t>
  </si>
  <si>
    <t>2025-06-14-21-56-50_UMBRA-08_MM</t>
  </si>
  <si>
    <t>descending</t>
  </si>
  <si>
    <t>HH</t>
  </si>
  <si>
    <t>21:56:50 UTC</t>
  </si>
  <si>
    <t>3.2314565181732178</t>
  </si>
  <si>
    <t>263.8573913574219</t>
  </si>
  <si>
    <t>82.52865356366166</t>
  </si>
  <si>
    <t>260.3405456542969</t>
  </si>
  <si>
    <t>75.45931857658663</t>
  </si>
  <si>
    <t>5.046424660953289</t>
  </si>
  <si>
    <t>631.5157841276028</t>
  </si>
  <si>
    <t>5.552826269651617</t>
  </si>
  <si>
    <t>4.557284022978458</t>
  </si>
  <si>
    <t>694.8875038076887</t>
  </si>
  <si>
    <t>570.3041235375885</t>
  </si>
  <si>
    <t>2025-06-30-11-42-52_UMBRA-05_MM</t>
  </si>
  <si>
    <t>11:42:52 UTC</t>
  </si>
  <si>
    <t>3.669478416442871</t>
  </si>
  <si>
    <t>253.0584716796875</t>
  </si>
  <si>
    <t>103.4116758740965</t>
  </si>
  <si>
    <t>251.23313903808597</t>
  </si>
  <si>
    <t>85.22305230764455</t>
  </si>
  <si>
    <t>6.5283017083659205</t>
  </si>
  <si>
    <t>7.295174585590473</t>
  </si>
  <si>
    <t>5.758175847809877</t>
  </si>
  <si>
    <t>2025-07-09-19-47-05_UMBRA-10_MM</t>
  </si>
  <si>
    <t>19:47:05 UTC</t>
  </si>
  <si>
    <t>1.1532632112503052</t>
  </si>
  <si>
    <t>250.17575073242188</t>
  </si>
  <si>
    <t>98.26550960830902</t>
  </si>
  <si>
    <t>247.53570556640625</t>
  </si>
  <si>
    <t>78.78315464598315</t>
  </si>
  <si>
    <t>5.964771148275142</t>
  </si>
  <si>
    <t>563.9515756422388</t>
  </si>
  <si>
    <t>6.681294915179382</t>
  </si>
  <si>
    <t>5.259361852416661</t>
  </si>
  <si>
    <t>497.2572006221492</t>
  </si>
  <si>
    <t>2025-08-21-11-47-30_UMBRA-05_MM</t>
  </si>
  <si>
    <t>11:47:30 UTC</t>
  </si>
  <si>
    <t>2.059678077697754</t>
  </si>
  <si>
    <t>248.57920837402344</t>
  </si>
  <si>
    <t>102.04446887673278</t>
  </si>
  <si>
    <t>246.22137451171875</t>
  </si>
  <si>
    <t>80.58011108364391</t>
  </si>
  <si>
    <t>6.4209119690229794</t>
  </si>
  <si>
    <t>7.194674282200361</t>
  </si>
  <si>
    <t>colony_name</t>
  </si>
  <si>
    <t>site_id</t>
  </si>
  <si>
    <t>group</t>
  </si>
  <si>
    <t>image_id</t>
  </si>
  <si>
    <t>date</t>
  </si>
  <si>
    <t>month</t>
  </si>
  <si>
    <t>day</t>
  </si>
  <si>
    <t>year</t>
  </si>
  <si>
    <t>DOY</t>
  </si>
  <si>
    <t>lat</t>
  </si>
  <si>
    <t>lon</t>
  </si>
  <si>
    <t>avg_size</t>
  </si>
  <si>
    <t>area_m2</t>
  </si>
  <si>
    <t>observation(1-5)</t>
  </si>
  <si>
    <t>grazing</t>
  </si>
  <si>
    <t>incidence</t>
  </si>
  <si>
    <t>azimuth</t>
  </si>
  <si>
    <t>resolution</t>
  </si>
  <si>
    <t>looks</t>
  </si>
  <si>
    <t>orbit_state</t>
  </si>
  <si>
    <t>polarization</t>
  </si>
  <si>
    <t>slant_range</t>
  </si>
  <si>
    <t>surface_type</t>
  </si>
  <si>
    <t>obs</t>
  </si>
  <si>
    <t>date_time</t>
  </si>
  <si>
    <t>time</t>
  </si>
  <si>
    <t>time_UTC</t>
  </si>
  <si>
    <t>date_UTC</t>
  </si>
  <si>
    <t>ts</t>
  </si>
  <si>
    <t>met_ff10</t>
  </si>
  <si>
    <t>temp_airK</t>
  </si>
  <si>
    <t>met_humc</t>
  </si>
  <si>
    <t>met_rad</t>
  </si>
  <si>
    <t>d2m</t>
  </si>
  <si>
    <t>rh_water</t>
  </si>
  <si>
    <t>rh_ice</t>
  </si>
  <si>
    <t>rho_pred</t>
  </si>
  <si>
    <t>count_pred</t>
  </si>
  <si>
    <t>rho_lower</t>
  </si>
  <si>
    <t>rho_upper</t>
  </si>
  <si>
    <t>count_upper</t>
  </si>
  <si>
    <t>count_lower</t>
  </si>
  <si>
    <t>Ta_C</t>
  </si>
  <si>
    <t>Colbeck</t>
  </si>
  <si>
    <t>COLB</t>
  </si>
  <si>
    <t>2025-04-23-16-24-49_UMBRA-05_MM.tif</t>
  </si>
  <si>
    <t>first year</t>
  </si>
  <si>
    <t>16:24:49 UTC</t>
  </si>
  <si>
    <t>2.420069456100464</t>
  </si>
  <si>
    <t>251.36387634277344</t>
  </si>
  <si>
    <t>72.01867705982475</t>
  </si>
  <si>
    <t>245.4354553222656</t>
  </si>
  <si>
    <t>58.39796808828199</t>
  </si>
  <si>
    <t>5.494529421738344</t>
  </si>
  <si>
    <t>40270.79986326438</t>
  </si>
  <si>
    <t>6.071504971566923</t>
  </si>
  <si>
    <t>4.932368825393187</t>
  </si>
  <si>
    <t>44499.600022422055</t>
  </si>
  <si>
    <t>36150.58225611818</t>
  </si>
  <si>
    <t>2025-05-13-16-28-26_UMBRA-05_MM.tif</t>
  </si>
  <si>
    <t>16:28:26 UTC</t>
  </si>
  <si>
    <t>8.842713356018066</t>
  </si>
  <si>
    <t>252.0218505859375</t>
  </si>
  <si>
    <t>67.18845968484702</t>
  </si>
  <si>
    <t>245.37908935546875</t>
  </si>
  <si>
    <t>54.82473323892067</t>
  </si>
  <si>
    <t>6.953633596313464</t>
  </si>
  <si>
    <t>34153.46581205178</t>
  </si>
  <si>
    <t>7.6352624501230855</t>
  </si>
  <si>
    <t>6.259531737875398</t>
  </si>
  <si>
    <t>37501.35399635833</t>
  </si>
  <si>
    <t>30744.315219933425</t>
  </si>
  <si>
    <t>2025-05-22-19-45-16_UMBRA-09_MM.tif</t>
  </si>
  <si>
    <t>19:45:16 UTC</t>
  </si>
  <si>
    <t>10.282166481018066</t>
  </si>
  <si>
    <t>258.3897399902344</t>
  </si>
  <si>
    <t>81.37654318277984</t>
  </si>
  <si>
    <t>254.2584228515625</t>
  </si>
  <si>
    <t>70.58598036756975</t>
  </si>
  <si>
    <t>47174.68532400643</t>
  </si>
  <si>
    <t>7.930427768704552</t>
  </si>
  <si>
    <t>51839.71829820728</t>
  </si>
  <si>
    <t>42374.03605253861</t>
  </si>
  <si>
    <t>2025-06-05-11-10-15_UMBRA-05_MM.tif</t>
  </si>
  <si>
    <t>11:10:15 UTC</t>
  </si>
  <si>
    <t>249.00230407714844</t>
  </si>
  <si>
    <t>90.14323647822071</t>
  </si>
  <si>
    <t>245.3422393798828</t>
  </si>
  <si>
    <t>71.46885666119972</t>
  </si>
  <si>
    <t>6.434437183517615</t>
  </si>
  <si>
    <t>31649.707314757936</t>
  </si>
  <si>
    <t>7.168648910043526</t>
  </si>
  <si>
    <t>5.699715949394652</t>
  </si>
  <si>
    <t>35261.14769234579</t>
  </si>
  <si>
    <t>28035.760771384106</t>
  </si>
  <si>
    <t>2025-06-13-19-58-31_UMBRA-10_MM.tif</t>
  </si>
  <si>
    <t>19:58:31 UTC</t>
  </si>
  <si>
    <t>7.019651412963867</t>
  </si>
  <si>
    <t>62.50980289521163</t>
  </si>
  <si>
    <t>255.5685272216797</t>
  </si>
  <si>
    <t>5.562520477280277</t>
  </si>
  <si>
    <t>23428.610702946073</t>
  </si>
  <si>
    <t>6.067516806508926</t>
  </si>
  <si>
    <t>5.068055483588299</t>
  </si>
  <si>
    <t>25555.589372460938</t>
  </si>
  <si>
    <t>21345.988645056914</t>
  </si>
  <si>
    <t>2025-06-30-10-34-02_UMBRA-08_MM.tif</t>
  </si>
  <si>
    <t>10:34:02 UTC</t>
  </si>
  <si>
    <t>9.316276550292969</t>
  </si>
  <si>
    <t>261.2472229003906</t>
  </si>
  <si>
    <t>258.31646728515625</t>
  </si>
  <si>
    <t>6.939861872702609</t>
  </si>
  <si>
    <t>25236.62760372758</t>
  </si>
  <si>
    <t>7.649478459103204</t>
  </si>
  <si>
    <t>6.217073931281477</t>
  </si>
  <si>
    <t>27817.12990491331</t>
  </si>
  <si>
    <t>2025-07-08-10-22-39_UMBRA-10_MM.tif</t>
  </si>
  <si>
    <t>10:22:39 UTC</t>
  </si>
  <si>
    <t>9.905065536499023</t>
  </si>
  <si>
    <t>241.56207275390625</t>
  </si>
  <si>
    <t>83.61585230168296</t>
  </si>
  <si>
    <t>236.7114105224609</t>
  </si>
  <si>
    <t>61.81034707487829</t>
  </si>
  <si>
    <t>8.404144538200926</t>
  </si>
  <si>
    <t>25691.932526649493</t>
  </si>
  <si>
    <t>7.530015579726109</t>
  </si>
  <si>
    <t>28135.715838003893</t>
  </si>
  <si>
    <t>23019.672177170425</t>
  </si>
  <si>
    <t>2025-07-25-10-41-25_UMBRA-10_MM.tif</t>
  </si>
  <si>
    <t>10:41:25 UTC</t>
  </si>
  <si>
    <t>1.909244537353516</t>
  </si>
  <si>
    <t>239.3285369873047</t>
  </si>
  <si>
    <t>97.04096946691334</t>
  </si>
  <si>
    <t>6.953212211966986</t>
  </si>
  <si>
    <t>21205.321831956673</t>
  </si>
  <si>
    <t>7.781903101776334</t>
  </si>
  <si>
    <t>6.106027535157102</t>
  </si>
  <si>
    <t>18621.649253700394</t>
  </si>
  <si>
    <t>2025-08-06-10-31-10_UMBRA-08_MM.tif</t>
  </si>
  <si>
    <t>10:31:10 UTC</t>
  </si>
  <si>
    <t>7.456151962280273</t>
  </si>
  <si>
    <t>246.9787750244141</t>
  </si>
  <si>
    <t>93.51188835388068</t>
  </si>
  <si>
    <t>243.5714111328125</t>
  </si>
  <si>
    <t>72.73081575187395</t>
  </si>
  <si>
    <t>7.680189515155008</t>
  </si>
  <si>
    <t>18213.280790627556</t>
  </si>
  <si>
    <t>6.825973872635334</t>
  </si>
  <si>
    <t>20134.05139967305</t>
  </si>
  <si>
    <t>16187.540498378641</t>
  </si>
  <si>
    <t>2025-08-20-09-23-20_UMBRA-05_MM.tif</t>
  </si>
  <si>
    <t>09:23:20 UTC</t>
  </si>
  <si>
    <t>7.775082111358643</t>
  </si>
  <si>
    <t>249.0206756591797</t>
  </si>
  <si>
    <t>75.55202658242663</t>
  </si>
  <si>
    <t>243.48745727539065</t>
  </si>
  <si>
    <t>7.133758139011495</t>
  </si>
  <si>
    <t>16744.863928868523</t>
  </si>
  <si>
    <t>7.8636144653097135</t>
  </si>
  <si>
    <t>6.384558143877471</t>
  </si>
  <si>
    <t>18458.03455132826</t>
  </si>
  <si>
    <t>14986.28847262709</t>
  </si>
  <si>
    <t>2025-08-29-09-11-48_UMBRA-05_MM.tif</t>
  </si>
  <si>
    <t>09:11:48 UTC</t>
  </si>
  <si>
    <t>2.9901278018951416</t>
  </si>
  <si>
    <t>253.8834381103516</t>
  </si>
  <si>
    <t>96.02765316756884</t>
  </si>
  <si>
    <t>251.29209899902344</t>
  </si>
  <si>
    <t>79.76549069392851</t>
  </si>
  <si>
    <t>6.091448447652295</t>
  </si>
  <si>
    <t>6.7961368994473625</t>
  </si>
  <si>
    <t>5.394502584451728</t>
  </si>
  <si>
    <t>Coulman</t>
  </si>
  <si>
    <t>COUL</t>
  </si>
  <si>
    <t>2025-04-25-12-11-23_UMBRA-08_MM.tif</t>
  </si>
  <si>
    <t>12:11:23 UTC</t>
  </si>
  <si>
    <t>6.260251045227051</t>
  </si>
  <si>
    <t>252.53265380859372</t>
  </si>
  <si>
    <t>80.93180050259917</t>
  </si>
  <si>
    <t>247.9346466064453</t>
  </si>
  <si>
    <t>66.36236280205453</t>
  </si>
  <si>
    <t>6.625003608802496</t>
  </si>
  <si>
    <t>6408.6220008091095</t>
  </si>
  <si>
    <t>7.327947773511602</t>
  </si>
  <si>
    <t>5.916974402615433</t>
  </si>
  <si>
    <t>7088.607055203585</t>
  </si>
  <si>
    <t>5723.717989291749</t>
  </si>
  <si>
    <t>2025-05-13-12-24-35_UMBRA-09_MM.tif</t>
  </si>
  <si>
    <t>12:24:35 UTC</t>
  </si>
  <si>
    <t>5.079878807067871</t>
  </si>
  <si>
    <t>251.47039794921875</t>
  </si>
  <si>
    <t>96.63182307607646</t>
  </si>
  <si>
    <t>248.7496795654297</t>
  </si>
  <si>
    <t>78.43581476452783</t>
  </si>
  <si>
    <t>6.827639953217193</t>
  </si>
  <si>
    <t>23283.57416032489</t>
  </si>
  <si>
    <t>7.598224349236302</t>
  </si>
  <si>
    <t>6.044909438746757</t>
  </si>
  <si>
    <t>25911.416145906718</t>
  </si>
  <si>
    <t>20614.311559177604</t>
  </si>
  <si>
    <t>2025-05-23-12-28-48_UMBRA-05_MM.tif</t>
  </si>
  <si>
    <t>12:28:48 UTC</t>
  </si>
  <si>
    <t>10.040888786315918</t>
  </si>
  <si>
    <t>255.28732299804688</t>
  </si>
  <si>
    <t>73.50704772455428</t>
  </si>
  <si>
    <t>249.79019165039065</t>
  </si>
  <si>
    <t>61.88640352616665</t>
  </si>
  <si>
    <t>7.1798260163479535</t>
  </si>
  <si>
    <t>29584.915772534783</t>
  </si>
  <si>
    <t>7.879832514035786</t>
  </si>
  <si>
    <t>6.460842151325173</t>
  </si>
  <si>
    <t>32469.33570515811</t>
  </si>
  <si>
    <t>26622.298427758218</t>
  </si>
  <si>
    <t>2025-06-02-14-24-54_UMBRA-10_MM.tif</t>
  </si>
  <si>
    <t>14:24:54 UTC</t>
  </si>
  <si>
    <t>4.8247904777526855</t>
  </si>
  <si>
    <t>255.43746948242188</t>
  </si>
  <si>
    <t>252.7041778564453</t>
  </si>
  <si>
    <t>79.03856184547058</t>
  </si>
  <si>
    <t>6.381251254009722</t>
  </si>
  <si>
    <t>27108.563328625136</t>
  </si>
  <si>
    <t>7.095787983046736</t>
  </si>
  <si>
    <t>5.667551061273019</t>
  </si>
  <si>
    <t>24076.652171656075</t>
  </si>
  <si>
    <t>2025-06-13-11-08-34_UMBRA-05_MM.tif</t>
  </si>
  <si>
    <t>11:08:34 UTC</t>
  </si>
  <si>
    <t>9.439416885375977</t>
  </si>
  <si>
    <t>267.3267517089844</t>
  </si>
  <si>
    <t>60.66737276311108</t>
  </si>
  <si>
    <t>57.35843271104317</t>
  </si>
  <si>
    <t>5.763276685770207</t>
  </si>
  <si>
    <t>27517.38216351916</t>
  </si>
  <si>
    <t>6.2621878529048844</t>
  </si>
  <si>
    <t>5.272206565610018</t>
  </si>
  <si>
    <t>29899.486997317814</t>
  </si>
  <si>
    <t>25172.71524879384</t>
  </si>
  <si>
    <t>2025-06-30-13-42-09_UMBRA-08_MM.tif</t>
  </si>
  <si>
    <t>13:42:09 UTC</t>
  </si>
  <si>
    <t>2.766312837600708</t>
  </si>
  <si>
    <t>248.0981903076172</t>
  </si>
  <si>
    <t>244.69081115722656</t>
  </si>
  <si>
    <t>72.97673743290537</t>
  </si>
  <si>
    <t>6.389953201545897</t>
  </si>
  <si>
    <t>20631.431619541792</t>
  </si>
  <si>
    <t>7.1334573378875055</t>
  </si>
  <si>
    <t>5.647121454539647</t>
  </si>
  <si>
    <t>23032.00549918575</t>
  </si>
  <si>
    <t>18233.028703308144</t>
  </si>
  <si>
    <t>2025-07-11-12-39-22_UMBRA-05_MM.tif</t>
  </si>
  <si>
    <t>12:39:22 UTC</t>
  </si>
  <si>
    <t>3.4306111335754395</t>
  </si>
  <si>
    <t>252.5204620361328</t>
  </si>
  <si>
    <t>98.63518054148244</t>
  </si>
  <si>
    <t>250.11508178710935</t>
  </si>
  <si>
    <t>80.86932971679725</t>
  </si>
  <si>
    <t>6.378965671681702</t>
  </si>
  <si>
    <t>16330.023800231706</t>
  </si>
  <si>
    <t>5.6371768021269215</t>
  </si>
  <si>
    <t>18231.458767191656</t>
  </si>
  <si>
    <t>14431.059215996367</t>
  </si>
  <si>
    <t>2025-07-24-13-58-52_UMBRA-10_MM.tif</t>
  </si>
  <si>
    <t>13:58:52 UTC</t>
  </si>
  <si>
    <t>3.217087507247925</t>
  </si>
  <si>
    <t>244.2169647216797</t>
  </si>
  <si>
    <t>101.17322946665756</t>
  </si>
  <si>
    <t>241.43975830078125</t>
  </si>
  <si>
    <t>76.66801908177477</t>
  </si>
  <si>
    <t>7.026061237410331</t>
  </si>
  <si>
    <t>14606.80839734984</t>
  </si>
  <si>
    <t>7.851022222031126</t>
  </si>
  <si>
    <t>6.180187245599031</t>
  </si>
  <si>
    <t>16321.858498747253</t>
  </si>
  <si>
    <t>12848.281263982137</t>
  </si>
  <si>
    <t>2025-08-06-22-22-58_UMBRA-10_MM.tif</t>
  </si>
  <si>
    <t>22:22:58 UTC</t>
  </si>
  <si>
    <t>3.720524787902832</t>
  </si>
  <si>
    <t>244.4098358154297</t>
  </si>
  <si>
    <t>95.74019190474812</t>
  </si>
  <si>
    <t>6.993774618856493</t>
  </si>
  <si>
    <t>12784.202286093008</t>
  </si>
  <si>
    <t>7.799387425888609</t>
  </si>
  <si>
    <t>6.169326057272714</t>
  </si>
  <si>
    <t>14256.81438051159</t>
  </si>
  <si>
    <t>2025-08-21-20-59-15_UMBRA-05_MM.tif</t>
  </si>
  <si>
    <t>20:59:15 UTC</t>
  </si>
  <si>
    <t>3.076186180114746</t>
  </si>
  <si>
    <t>248.05865478515625</t>
  </si>
  <si>
    <t>76.47894314297487</t>
  </si>
  <si>
    <t>242.60655212402344</t>
  </si>
  <si>
    <t>60.094563364834855</t>
  </si>
  <si>
    <t>6.030377417476057</t>
  </si>
  <si>
    <t>11262.376205200784</t>
  </si>
  <si>
    <t>6.690214146546137</t>
  </si>
  <si>
    <t>5.378608735854816</t>
  </si>
  <si>
    <t>12494.692022658637</t>
  </si>
  <si>
    <t>10045.12833114344</t>
  </si>
  <si>
    <t>Crozier</t>
  </si>
  <si>
    <t>CROZ</t>
  </si>
  <si>
    <t>2025-04-24-20-33-54_UMBRA-05_MM.tif</t>
  </si>
  <si>
    <t>20:33:54 UTC</t>
  </si>
  <si>
    <t>3.803221702575684</t>
  </si>
  <si>
    <t>257.8622131347656</t>
  </si>
  <si>
    <t>255.56114196777344</t>
  </si>
  <si>
    <t>5.981983896463578</t>
  </si>
  <si>
    <t>2513.962560607753</t>
  </si>
  <si>
    <t>6.657920888647355</t>
  </si>
  <si>
    <t>5.315569973219178</t>
  </si>
  <si>
    <t>2798.028903996676</t>
  </si>
  <si>
    <t>2233.898340793558</t>
  </si>
  <si>
    <t>2025-05-22-20-45-10_UMBRA-05_MM.tif</t>
  </si>
  <si>
    <t>20:45:10 UTC</t>
  </si>
  <si>
    <t>10.580774307250977</t>
  </si>
  <si>
    <t>247.7356109619141</t>
  </si>
  <si>
    <t>70.14206363184476</t>
  </si>
  <si>
    <t>241.3726806640625</t>
  </si>
  <si>
    <t>54.94674014001683</t>
  </si>
  <si>
    <t>7.787024448671234</t>
  </si>
  <si>
    <t>4501.4330363501185</t>
  </si>
  <si>
    <t>8.526833369889465</t>
  </si>
  <si>
    <t>7.006885990573239</t>
  </si>
  <si>
    <t>4050.459618794097</t>
  </si>
  <si>
    <t>2025-06-14-21-57-34_UMBRA-08_MM.tif</t>
  </si>
  <si>
    <t>21:57:34 UTC</t>
  </si>
  <si>
    <t>6.682188987731934</t>
  </si>
  <si>
    <t>264.3945007324219</t>
  </si>
  <si>
    <t>64.83350421184785</t>
  </si>
  <si>
    <t>257.9811706542969</t>
  </si>
  <si>
    <t>59.58787060375109</t>
  </si>
  <si>
    <t>5.399228168864709</t>
  </si>
  <si>
    <t>7497.027182239792</t>
  </si>
  <si>
    <t>5.886230531688642</t>
  </si>
  <si>
    <t>4.923946244238983</t>
  </si>
  <si>
    <t>8173.247900778852</t>
  </si>
  <si>
    <t>6837.080723837841</t>
  </si>
  <si>
    <t>2025-06-30-22-00-08_UMBRA-10_MM.tif</t>
  </si>
  <si>
    <t>22:00:08 UTC</t>
  </si>
  <si>
    <t>3.791128158569336</t>
  </si>
  <si>
    <t>249.42320251464844</t>
  </si>
  <si>
    <t>96.44364674073888</t>
  </si>
  <si>
    <t>246.52093505859372</t>
  </si>
  <si>
    <t>76.77062864942421</t>
  </si>
  <si>
    <t>6.6489557972860025</t>
  </si>
  <si>
    <t>2423.541469219153</t>
  </si>
  <si>
    <t>7.416693651049929</t>
  </si>
  <si>
    <t>5.8744480590943855</t>
  </si>
  <si>
    <t>2703.3815798791866</t>
  </si>
  <si>
    <t>2141.233738657206</t>
  </si>
  <si>
    <t>2025-07-18-20-33-18_UMBRA-05_MM.tif</t>
  </si>
  <si>
    <t>20:33:18 UTC</t>
  </si>
  <si>
    <t>2.1054484844207764</t>
  </si>
  <si>
    <t>249.17037963867188</t>
  </si>
  <si>
    <t>54.90780592908658</t>
  </si>
  <si>
    <t>240.3352813720703</t>
  </si>
  <si>
    <t>43.60251470142798</t>
  </si>
  <si>
    <t>5.129912506139121</t>
  </si>
  <si>
    <t>1875.9097499479078</t>
  </si>
  <si>
    <t>4.656104083551045</t>
  </si>
  <si>
    <t>2054.6837606143654</t>
  </si>
  <si>
    <t>1702.6471770528087</t>
  </si>
  <si>
    <t>2025-08-05-21-55-26_UMBRA-08_MM.tif</t>
  </si>
  <si>
    <t>21:55:26 UTC</t>
  </si>
  <si>
    <t>3.086523056030273</t>
  </si>
  <si>
    <t>249.5244903564453</t>
  </si>
  <si>
    <t>80.02368822425521</t>
  </si>
  <si>
    <t>6.568447677486561</t>
  </si>
  <si>
    <t>1672.535786693176</t>
  </si>
  <si>
    <t>7.3433479348646875</t>
  </si>
  <si>
    <t>5.789040844202893</t>
  </si>
  <si>
    <t>1869.8500495478368</t>
  </si>
  <si>
    <t>1474.0740062137193</t>
  </si>
  <si>
    <t>2025-08-21-21-53-55_UMBRA-08_MM.tif</t>
  </si>
  <si>
    <t>21:53:55 UTC</t>
  </si>
  <si>
    <t>3.8626787662506095</t>
  </si>
  <si>
    <t>250.4070281982422</t>
  </si>
  <si>
    <t>100.21331178208742</t>
  </si>
  <si>
    <t>248.0008087158203</t>
  </si>
  <si>
    <t>80.52201052320667</t>
  </si>
  <si>
    <t>6.693971648591669</t>
  </si>
  <si>
    <t>1543.1500985232126</t>
  </si>
  <si>
    <t>7.472547599057872</t>
  </si>
  <si>
    <t>5.907073592653257</t>
  </si>
  <si>
    <t>1722.6339113837735</t>
  </si>
  <si>
    <t>1361.747804594382</t>
  </si>
  <si>
    <t>Franklin</t>
  </si>
  <si>
    <t>FRAN</t>
  </si>
  <si>
    <t>2025-04-24-14-11-40_UMBRA-08_MM.tif</t>
  </si>
  <si>
    <t>14:11:40 UTC</t>
  </si>
  <si>
    <t>3.958878993988037</t>
  </si>
  <si>
    <t>252.1122894287109</t>
  </si>
  <si>
    <t>97.01892287926678</t>
  </si>
  <si>
    <t>249.4882049560547</t>
  </si>
  <si>
    <t>6.501984937948751</t>
  </si>
  <si>
    <t>7.250276441649906</t>
  </si>
  <si>
    <t>5.751318437080499</t>
  </si>
  <si>
    <t>4421.496477214122</t>
  </si>
  <si>
    <t>3507.374430967382</t>
  </si>
  <si>
    <t>2025-05-22-19-46-34_UMBRA-10_MM.tif</t>
  </si>
  <si>
    <t>19:46:34 UTC</t>
  </si>
  <si>
    <t>3.5591464042663574</t>
  </si>
  <si>
    <t>251.3565368652344</t>
  </si>
  <si>
    <t>93.47506600970831</t>
  </si>
  <si>
    <t>248.2603759765625</t>
  </si>
  <si>
    <t>6.361371510127597</t>
  </si>
  <si>
    <t>7647.721237211285</t>
  </si>
  <si>
    <t>7.090885264206891</t>
  </si>
  <si>
    <t>5.6332423687503566</t>
  </si>
  <si>
    <t>8524.751893419263</t>
  </si>
  <si>
    <t>6772.355179895219</t>
  </si>
  <si>
    <t>2025-06-14-12-39-53_UMBRA-08_MM.tif</t>
  </si>
  <si>
    <t>12:39:53 UTC</t>
  </si>
  <si>
    <t>4.406888008117676</t>
  </si>
  <si>
    <t>259.9813842773437</t>
  </si>
  <si>
    <t>100.77039738515336</t>
  </si>
  <si>
    <t>258.5290832519531</t>
  </si>
  <si>
    <t>88.75843572281993</t>
  </si>
  <si>
    <t>6.116778595359077</t>
  </si>
  <si>
    <t>7328.105810009027</t>
  </si>
  <si>
    <t>5.427414115096109</t>
  </si>
  <si>
    <t>8162.340833978465</t>
  </si>
  <si>
    <t>6502.224053088519</t>
  </si>
  <si>
    <t>2025-06-30-12-32-59_UMBRA-10_MM.tif</t>
  </si>
  <si>
    <t>12:32:59 UTC</t>
  </si>
  <si>
    <t>2.4642608165740967</t>
  </si>
  <si>
    <t>252.33294677734372</t>
  </si>
  <si>
    <t>99.76609065630736</t>
  </si>
  <si>
    <t>250.0391998291016</t>
  </si>
  <si>
    <t>81.65000765888269</t>
  </si>
  <si>
    <t>6.176088795759469</t>
  </si>
  <si>
    <t>3998.0101875238456</t>
  </si>
  <si>
    <t>6.907038045509875</t>
  </si>
  <si>
    <t>5.451299535924287</t>
  </si>
  <si>
    <t>4471.1806103764975</t>
  </si>
  <si>
    <t>3528.8273534592654</t>
  </si>
  <si>
    <t>2025-07-22-12-32-35_UMBRA-09_MM.tif</t>
  </si>
  <si>
    <t>12:32:35 UTC</t>
  </si>
  <si>
    <t>0.6215075850486755</t>
  </si>
  <si>
    <t>251.24154663085935</t>
  </si>
  <si>
    <t>99.93858145802108</t>
  </si>
  <si>
    <t>248.8743896484375</t>
  </si>
  <si>
    <t>80.94288779330587</t>
  </si>
  <si>
    <t>5.793307324723412</t>
  </si>
  <si>
    <t>4593.958512334796</t>
  </si>
  <si>
    <t>6.494256505730659</t>
  </si>
  <si>
    <t>5.107030444316409</t>
  </si>
  <si>
    <t>5149.794976086714</t>
  </si>
  <si>
    <t>4049.756843089701</t>
  </si>
  <si>
    <t>2025-08-06-11-16-49_UMBRA-05_MM.tif</t>
  </si>
  <si>
    <t>11:16:49 UTC</t>
  </si>
  <si>
    <t>5.072870254516602</t>
  </si>
  <si>
    <t>248.3596343994141</t>
  </si>
  <si>
    <t>106.27694739972888</t>
  </si>
  <si>
    <t>246.4229736328125</t>
  </si>
  <si>
    <t>83.74759479325112</t>
  </si>
  <si>
    <t>7.319192922099802</t>
  </si>
  <si>
    <t>4363.3147492279795</t>
  </si>
  <si>
    <t>8.154091423489156</t>
  </si>
  <si>
    <t>6.451827074817448</t>
  </si>
  <si>
    <t>3846.2372196828287</t>
  </si>
  <si>
    <t>2025-08-24-12-59-37_UMBRA-10_MM.tif</t>
  </si>
  <si>
    <t>12:59:37 UTC</t>
  </si>
  <si>
    <t>14.899229049682615</t>
  </si>
  <si>
    <t>257.1086730957031</t>
  </si>
  <si>
    <t>87.86289949834962</t>
  </si>
  <si>
    <t>253.76763916015625</t>
  </si>
  <si>
    <t>8.589432402999748</t>
  </si>
  <si>
    <t>7130.791080329222</t>
  </si>
  <si>
    <t>9.341916008310514</t>
  </si>
  <si>
    <t>7.762670162402198</t>
  </si>
  <si>
    <t>7755.489329187906</t>
  </si>
  <si>
    <t>6444.428054904271</t>
  </si>
  <si>
    <t>Roget</t>
  </si>
  <si>
    <t>ROGE</t>
  </si>
  <si>
    <t>2025-04-25-12-20-05_UMBRA-05_MM.tif</t>
  </si>
  <si>
    <t>12:20:05 UTC</t>
  </si>
  <si>
    <t>4.960875034332275</t>
  </si>
  <si>
    <t>251.87249755859372</t>
  </si>
  <si>
    <t>69.14081398040572</t>
  </si>
  <si>
    <t>245.5303497314453</t>
  </si>
  <si>
    <t>56.337368878182176</t>
  </si>
  <si>
    <t>6.023723377537048</t>
  </si>
  <si>
    <t>9238.568731854704</t>
  </si>
  <si>
    <t>6.642332638601665</t>
  </si>
  <si>
    <t>5.412333118298276</t>
  </si>
  <si>
    <t>10187.328131700197</t>
  </si>
  <si>
    <t>2025-05-22-13-15-37_UMBRA-08_MM.tif</t>
  </si>
  <si>
    <t>13:15:37 UTC</t>
  </si>
  <si>
    <t>5.806961536407471</t>
  </si>
  <si>
    <t>254.4305419921875</t>
  </si>
  <si>
    <t>71.82873078617864</t>
  </si>
  <si>
    <t>248.62918090820312</t>
  </si>
  <si>
    <t>59.978353738084486</t>
  </si>
  <si>
    <t>6.117585461816989</t>
  </si>
  <si>
    <t>9882.920907363816</t>
  </si>
  <si>
    <t>6.742547484232212</t>
  </si>
  <si>
    <t>5.498230440555169</t>
  </si>
  <si>
    <t>10892.543131064032</t>
  </si>
  <si>
    <t>8882.356758826169</t>
  </si>
  <si>
    <t>2025-06-13-12-08-12_UMBRA-10_MM.tif</t>
  </si>
  <si>
    <t>12:08:12 UTC</t>
  </si>
  <si>
    <t>3.244417428970337</t>
  </si>
  <si>
    <t>253.0364532470703</t>
  </si>
  <si>
    <t>49.11805798842003</t>
  </si>
  <si>
    <t>4.517593025920694</t>
  </si>
  <si>
    <t>5784.689645617245</t>
  </si>
  <si>
    <t>4.880232098586056</t>
  </si>
  <si>
    <t>4.167773583431101</t>
  </si>
  <si>
    <t>6249.041896186792</t>
  </si>
  <si>
    <t>5336.7526811332145</t>
  </si>
  <si>
    <t>2025-06-30-12-09-20_UMBRA-08_MM.tif</t>
  </si>
  <si>
    <t>12:09:20 UTC</t>
  </si>
  <si>
    <t>0.3568153977394104</t>
  </si>
  <si>
    <t>249.8631591796875</t>
  </si>
  <si>
    <t>102.90074255430456</t>
  </si>
  <si>
    <t>247.70188903808597</t>
  </si>
  <si>
    <t>82.25419452250311</t>
  </si>
  <si>
    <t>5.910044215964429</t>
  </si>
  <si>
    <t>8666.077120969978</t>
  </si>
  <si>
    <t>6.638064023387821</t>
  </si>
  <si>
    <t>5.194881407564873</t>
  </si>
  <si>
    <t>9733.594649803776</t>
  </si>
  <si>
    <t>7617.412199834753</t>
  </si>
  <si>
    <t>2025-07-18-21-04-47_UMBRA-08_MM.tif</t>
  </si>
  <si>
    <t>21:04:47 UTC</t>
  </si>
  <si>
    <t>3.609531879425049</t>
  </si>
  <si>
    <t>257.2602233886719</t>
  </si>
  <si>
    <t>42.96914780120375</t>
  </si>
  <si>
    <t>245.9348907470703</t>
  </si>
  <si>
    <t>36.868538607246585</t>
  </si>
  <si>
    <t>4.606786610033545</t>
  </si>
  <si>
    <t>5851.312551073529</t>
  </si>
  <si>
    <t>4.264571894939545</t>
  </si>
  <si>
    <t>6300.656487327892</t>
  </si>
  <si>
    <t>5416.6483421365765</t>
  </si>
  <si>
    <t>2025-08-06-12-06-27_UMBRA-08_MM.tif</t>
  </si>
  <si>
    <t>12:06:27 UTC</t>
  </si>
  <si>
    <t>3.481701612472534</t>
  </si>
  <si>
    <t>59.02180770964229</t>
  </si>
  <si>
    <t>241.82107543945312</t>
  </si>
  <si>
    <t>47.19542741826941</t>
  </si>
  <si>
    <t>5.526695764365316</t>
  </si>
  <si>
    <t>4.995467577397487</t>
  </si>
  <si>
    <t>7951.088433327185</t>
  </si>
  <si>
    <t>6542.866416629444</t>
  </si>
  <si>
    <t>2025-08-20-20-55-31_UMBRA-08_MM.tif</t>
  </si>
  <si>
    <t>20:55:31 UTC</t>
  </si>
  <si>
    <t>0.5919172167778015</t>
  </si>
  <si>
    <t>247.33612060546875</t>
  </si>
  <si>
    <t>65.50737427493627</t>
  </si>
  <si>
    <t>240.25860595703125</t>
  </si>
  <si>
    <t>51.12229632770877</t>
  </si>
  <si>
    <t>2978.6376580369765</t>
  </si>
  <si>
    <t>5.702722984174363</t>
  </si>
  <si>
    <t>4.649024539212687</t>
  </si>
  <si>
    <t>3287.3860400586764</t>
  </si>
  <si>
    <t>2679.972078691227</t>
  </si>
  <si>
    <t>Washington</t>
  </si>
  <si>
    <t>WASH</t>
  </si>
  <si>
    <t>2025-04-24-12-50-40_UMBRA-05_MM.tif</t>
  </si>
  <si>
    <t>12:50:40 UTC</t>
  </si>
  <si>
    <t>1.0778998136520386</t>
  </si>
  <si>
    <t>256.3497314453125</t>
  </si>
  <si>
    <t>90.17889336243094</t>
  </si>
  <si>
    <t>253.24710083007807</t>
  </si>
  <si>
    <t>76.70127933906657</t>
  </si>
  <si>
    <t>10575.913318199382</t>
  </si>
  <si>
    <t>5.855735745338404</t>
  </si>
  <si>
    <t>4.696152362819389</t>
  </si>
  <si>
    <t>11759.739559179985</t>
  </si>
  <si>
    <t>9431.014499065692</t>
  </si>
  <si>
    <t>2025-05-23-14-19-08_UMBRA-08_MM.tif</t>
  </si>
  <si>
    <t>14:19:08 UTC</t>
  </si>
  <si>
    <t>5.674453258514404</t>
  </si>
  <si>
    <t>254.2415008544922</t>
  </si>
  <si>
    <t>80.70331417058583</t>
  </si>
  <si>
    <t>249.72244262695312</t>
  </si>
  <si>
    <t>67.26676611713549</t>
  </si>
  <si>
    <t>6.337914346402471</t>
  </si>
  <si>
    <t>23282.272546173655</t>
  </si>
  <si>
    <t>7.0114929850136525</t>
  </si>
  <si>
    <t>5.666031494633714</t>
  </si>
  <si>
    <t>25756.65774425192</t>
  </si>
  <si>
    <t>20814.116806129638</t>
  </si>
  <si>
    <t>2025-06-13-20-53-58_UMBRA-08_MM.tif</t>
  </si>
  <si>
    <t>20:53:58 UTC</t>
  </si>
  <si>
    <t>7.678525924682617</t>
  </si>
  <si>
    <t>265.99639892578125</t>
  </si>
  <si>
    <t>262.5150451660156</t>
  </si>
  <si>
    <t>76.07160890181115</t>
  </si>
  <si>
    <t>5.975237218966479</t>
  </si>
  <si>
    <t>27401.085074548188</t>
  </si>
  <si>
    <t>6.569295831029753</t>
  </si>
  <si>
    <t>5.388661283875707</t>
  </si>
  <si>
    <t>30125.303372818416</t>
  </si>
  <si>
    <t>24711.18063877334</t>
  </si>
  <si>
    <t>2025-06-30-19-24-50_UMBRA-05_MM.tif</t>
  </si>
  <si>
    <t>19:24:50 UTC</t>
  </si>
  <si>
    <t>5.632374286651611</t>
  </si>
  <si>
    <t>248.0344390869141</t>
  </si>
  <si>
    <t>71.70583685608604</t>
  </si>
  <si>
    <t>241.9113006591797</t>
  </si>
  <si>
    <t>56.331081427425616</t>
  </si>
  <si>
    <t>6.558424705509632</t>
  </si>
  <si>
    <t>12318.181771181948</t>
  </si>
  <si>
    <t>7.245820257202004</t>
  </si>
  <si>
    <t>13609.263659693248</t>
  </si>
  <si>
    <t>11020.88095188251</t>
  </si>
  <si>
    <t>2025-07-18-20-41-46_UMBRA-10_MM.tif</t>
  </si>
  <si>
    <t>20:41:46 UTC</t>
  </si>
  <si>
    <t>8.821488380432129</t>
  </si>
  <si>
    <t>256.6938171386719</t>
  </si>
  <si>
    <t>74.78999199126301</t>
  </si>
  <si>
    <t>251.4759063720703</t>
  </si>
  <si>
    <t>63.82303323268162</t>
  </si>
  <si>
    <t>13147.607540269799</t>
  </si>
  <si>
    <t>7.474307102642514</t>
  </si>
  <si>
    <t>14457.064298399448</t>
  </si>
  <si>
    <t>11821.409344064436</t>
  </si>
  <si>
    <t>2025-08-06-12-56-04_UMBRA-10_MM.tif</t>
  </si>
  <si>
    <t>12:56:04 UTC</t>
  </si>
  <si>
    <t>5.425773620605469</t>
  </si>
  <si>
    <t>251.0998077392578</t>
  </si>
  <si>
    <t>78.77724651023591</t>
  </si>
  <si>
    <t>63.71752637453568</t>
  </si>
  <si>
    <t>6.462291324401189</t>
  </si>
  <si>
    <t>8637.917961052417</t>
  </si>
  <si>
    <t>7.152627306814875</t>
  </si>
  <si>
    <t>5.770858296819691</t>
  </si>
  <si>
    <t>9560.665835190464</t>
  </si>
  <si>
    <t>2025-08-20-20-56-42_UMBRA-08_MM.tif</t>
  </si>
  <si>
    <t>20:56:42 UTC</t>
  </si>
  <si>
    <t>3.8019611835479736</t>
  </si>
  <si>
    <t>247.30096435546875</t>
  </si>
  <si>
    <t>97.73938861300738</t>
  </si>
  <si>
    <t>244.38360595703125</t>
  </si>
  <si>
    <t>76.25094774388685</t>
  </si>
  <si>
    <t>6.848544375073919</t>
  </si>
  <si>
    <t>9372.267973350416</t>
  </si>
  <si>
    <t>7.641158805590186</t>
  </si>
  <si>
    <t>6.042405266765721</t>
  </si>
  <si>
    <t>10456.964871771666</t>
  </si>
  <si>
    <t>8269.062484259803</t>
  </si>
  <si>
    <t>CBEK</t>
  </si>
  <si>
    <t>Cape Colbeck</t>
  </si>
  <si>
    <t>Subarea 88.2</t>
  </si>
  <si>
    <t>Amundsen Sea</t>
  </si>
  <si>
    <t>Ross</t>
  </si>
  <si>
    <t>yes</t>
  </si>
  <si>
    <t>Cape Washington</t>
  </si>
  <si>
    <t>Subarea 88.1</t>
  </si>
  <si>
    <t>Victoria Oates Land</t>
  </si>
  <si>
    <t>BEAN</t>
  </si>
  <si>
    <t>Beaufort Island</t>
  </si>
  <si>
    <t>Franklin Island</t>
  </si>
  <si>
    <t>Cape Crozier</t>
  </si>
  <si>
    <t>Coulman Island</t>
  </si>
  <si>
    <t>Cape Roget</t>
  </si>
  <si>
    <t>site_number</t>
  </si>
  <si>
    <t>N_mean</t>
  </si>
  <si>
    <t>N_se</t>
  </si>
  <si>
    <t>N_q025</t>
  </si>
  <si>
    <t>N_q05</t>
  </si>
  <si>
    <t>N_median</t>
  </si>
  <si>
    <t>N_q95</t>
  </si>
  <si>
    <t>N_q975</t>
  </si>
  <si>
    <t>change_since_2005_mean</t>
  </si>
  <si>
    <t>change_since_2005_q025</t>
  </si>
  <si>
    <t>change_since_2005_q05</t>
  </si>
  <si>
    <t>change_since_2005_median</t>
  </si>
  <si>
    <t>change_since_2005_q95</t>
  </si>
  <si>
    <t>change_since_2005_q975</t>
  </si>
  <si>
    <t>prob_decline_since_2005</t>
  </si>
  <si>
    <t>site_name</t>
  </si>
  <si>
    <t>ccamlr_reg</t>
  </si>
  <si>
    <t>ice_reg</t>
  </si>
  <si>
    <t>p_ice_reg</t>
  </si>
  <si>
    <t>MPA_current_name</t>
  </si>
  <si>
    <t>MPA_proposed_name</t>
  </si>
  <si>
    <t>in_MPA_current</t>
  </si>
  <si>
    <t>in_MPA_any</t>
  </si>
  <si>
    <t>site_id_factor</t>
  </si>
  <si>
    <t>25OCT03002129-P3DS-050498013010_01_P001.TIF</t>
  </si>
  <si>
    <t>WV02</t>
  </si>
  <si>
    <t>Ross Sea</t>
  </si>
  <si>
    <t>25SEP25001027-P3DS-050498012010_01_P001.TIF</t>
  </si>
  <si>
    <t>Subarea 88.10</t>
  </si>
  <si>
    <t>combined</t>
  </si>
  <si>
    <t>25OCT10205022-P3DS-050498010010_01_P001.TIF</t>
  </si>
  <si>
    <t>Subarea 88.8</t>
  </si>
  <si>
    <t>25SEP29221944-P3DS-050498011010_01_P001.TIF</t>
  </si>
  <si>
    <t>Sulzberger Bay</t>
  </si>
  <si>
    <t>Subarea 88.5</t>
  </si>
  <si>
    <t>25OCT24235922-P3DS-050498009010_01_P001.TIF</t>
  </si>
  <si>
    <t>Subarea 88.7</t>
  </si>
  <si>
    <t>25OCT22212910-P3DS-050498007010_01_P001.TIF</t>
  </si>
  <si>
    <t>25NOV01204221-P3DS-050498008010_01_P001.TIF</t>
  </si>
  <si>
    <t>satellite</t>
  </si>
  <si>
    <t>bpresent</t>
  </si>
  <si>
    <t>polynya</t>
  </si>
  <si>
    <t>polynya_si</t>
  </si>
  <si>
    <t>iceberg</t>
  </si>
  <si>
    <t>Subarea 88.9</t>
  </si>
  <si>
    <t>colony</t>
  </si>
  <si>
    <t>image_qual</t>
  </si>
  <si>
    <t>notes</t>
  </si>
  <si>
    <t>method</t>
  </si>
  <si>
    <t>date_utc</t>
  </si>
  <si>
    <t>time_utc</t>
  </si>
  <si>
    <t>doy</t>
  </si>
  <si>
    <t xml:space="preserve">Coulman </t>
  </si>
  <si>
    <t>birds on top of iceberg</t>
  </si>
  <si>
    <t>Set Null</t>
  </si>
  <si>
    <t>00:10:27 UTC</t>
  </si>
  <si>
    <t>2.611344814300537</t>
  </si>
  <si>
    <t>251.97093200683597</t>
  </si>
  <si>
    <t>247.66868591308597</t>
  </si>
  <si>
    <t>83.41864645871817</t>
  </si>
  <si>
    <t>68.03520025135383</t>
  </si>
  <si>
    <t>238.9155555555556</t>
  </si>
  <si>
    <t>5.225327370083242</t>
  </si>
  <si>
    <t>29088.164213614156</t>
  </si>
  <si>
    <t>4.709410668805221</t>
  </si>
  <si>
    <t>5.757689723976198</t>
  </si>
  <si>
    <t>26216.177701679666</t>
  </si>
  <si>
    <t>32051.69979223529</t>
  </si>
  <si>
    <t xml:space="preserve">birds at colony </t>
  </si>
  <si>
    <t>59705.87256464137</t>
  </si>
  <si>
    <t>53810.88175567604</t>
  </si>
  <si>
    <t>65788.77543532582</t>
  </si>
  <si>
    <t xml:space="preserve">combined areas iceberg and colony </t>
  </si>
  <si>
    <t>80027.05943380867</t>
  </si>
  <si>
    <t>97840.47519877266</t>
  </si>
  <si>
    <t>guano areas make it a little difficult</t>
  </si>
  <si>
    <t>23:59:22 UTC</t>
  </si>
  <si>
    <t>3.261432647705078</t>
  </si>
  <si>
    <t>253.79380798339844</t>
  </si>
  <si>
    <t>250.53387451171875</t>
  </si>
  <si>
    <t>90.56267937015583</t>
  </si>
  <si>
    <t>75.16142564290158</t>
  </si>
  <si>
    <t>397.6355555555556</t>
  </si>
  <si>
    <t>5.062158164030578</t>
  </si>
  <si>
    <t>14857.129251835471</t>
  </si>
  <si>
    <t>4.582273575991393</t>
  </si>
  <si>
    <t>5.558429686629011</t>
  </si>
  <si>
    <t>13448.696895627701</t>
  </si>
  <si>
    <t>16313.656273776536</t>
  </si>
  <si>
    <t xml:space="preserve">Colbeck </t>
  </si>
  <si>
    <t>22:19:44 UTC</t>
  </si>
  <si>
    <t>4.3459577560424805</t>
  </si>
  <si>
    <t>250.7564239501953</t>
  </si>
  <si>
    <t>246.9169769287109</t>
  </si>
  <si>
    <t>87.68249090937138</t>
  </si>
  <si>
    <t>5.985445789230868</t>
  </si>
  <si>
    <t>160987.53357217042</t>
  </si>
  <si>
    <t>5.352151561118027</t>
  </si>
  <si>
    <t>6.627263680936314</t>
  </si>
  <si>
    <t>143954.13632834062</t>
  </si>
  <si>
    <t>178250.18752086276</t>
  </si>
  <si>
    <t xml:space="preserve">Beaufort </t>
  </si>
  <si>
    <t xml:space="preserve">ice texture makes it diffcult </t>
  </si>
  <si>
    <t>00:21:29 UTC</t>
  </si>
  <si>
    <t>1.507341742515564</t>
  </si>
  <si>
    <t>259.63092041015625</t>
  </si>
  <si>
    <t>254.2778167724609</t>
  </si>
  <si>
    <t>72.72321708074286</t>
  </si>
  <si>
    <t>63.838592826812366</t>
  </si>
  <si>
    <t>4.302845226320753</t>
  </si>
  <si>
    <t>1198.4072953448783</t>
  </si>
  <si>
    <t>3.9527987460219336</t>
  </si>
  <si>
    <t>1100.9140708305947</t>
  </si>
  <si>
    <t>1299.994648994074</t>
  </si>
  <si>
    <t xml:space="preserve">Roget </t>
  </si>
  <si>
    <t>21:29:10 UTC</t>
  </si>
  <si>
    <t>7.537265300750732</t>
  </si>
  <si>
    <t>256.86444091796875</t>
  </si>
  <si>
    <t>250.3014373779297</t>
  </si>
  <si>
    <t>66.32915630717565</t>
  </si>
  <si>
    <t>56.69578852335427</t>
  </si>
  <si>
    <t>246.9155555555556</t>
  </si>
  <si>
    <t>5.622975547619081</t>
  </si>
  <si>
    <t>21047.738580909674</t>
  </si>
  <si>
    <t>6.120335751585117</t>
  </si>
  <si>
    <t>19221.539245301345</t>
  </si>
  <si>
    <t>22909.44106653716</t>
  </si>
  <si>
    <t xml:space="preserve">Washington </t>
  </si>
  <si>
    <t>pansharpened colour image. Small shaddow</t>
  </si>
  <si>
    <t>Maximum Likelihood</t>
  </si>
  <si>
    <t>20:42:21 UTC</t>
  </si>
  <si>
    <t>5.935633182525635</t>
  </si>
  <si>
    <t>258.79083251953125</t>
  </si>
  <si>
    <t>253.4175720214844</t>
  </si>
  <si>
    <t>72.93556398608311</t>
  </si>
  <si>
    <t>63.50904775419886</t>
  </si>
  <si>
    <t>327.1111111111111</t>
  </si>
  <si>
    <t>5.062678314501572</t>
  </si>
  <si>
    <t>31907.045011811493</t>
  </si>
  <si>
    <t>4.642777936430563</t>
  </si>
  <si>
    <t>5.495066289798849</t>
  </si>
  <si>
    <t>29260.66311051398</t>
  </si>
  <si>
    <t>34632.12879816589</t>
  </si>
  <si>
    <t>20:50:22 UTC</t>
  </si>
  <si>
    <t>4.457452774047852</t>
  </si>
  <si>
    <t>69.50562500762537</t>
  </si>
  <si>
    <t>168.14222222222222</t>
  </si>
  <si>
    <t>6.059327969549631</t>
  </si>
  <si>
    <t>15571.724936475974</t>
  </si>
  <si>
    <t>5.416073467169463</t>
  </si>
  <si>
    <t>6.709837907868162</t>
  </si>
  <si>
    <t>13918.640266764953</t>
  </si>
  <si>
    <t>17243.455180959343</t>
  </si>
  <si>
    <t>24OCT12204250-S2AS-050272143160_01_P001.TIF</t>
  </si>
  <si>
    <t>20:42:50 UTC</t>
  </si>
  <si>
    <t>24OCT18184722-S2AS-050272143040_01_P001.TIF</t>
  </si>
  <si>
    <t>18:47:22 UTC</t>
  </si>
  <si>
    <t>24OCT11211806-S2AS-050272143230_01_P001.TIF</t>
  </si>
  <si>
    <t>21:18:06 UTC</t>
  </si>
  <si>
    <t>24OCT27210449-S2AS-050272143190_01_P001.TIF</t>
  </si>
  <si>
    <t>21:04:49 UTC</t>
  </si>
  <si>
    <t>NA</t>
  </si>
  <si>
    <t>pop_est</t>
  </si>
  <si>
    <t>pop_upper</t>
  </si>
  <si>
    <t>pop_lower</t>
  </si>
  <si>
    <t>type</t>
  </si>
  <si>
    <t>SAR</t>
  </si>
  <si>
    <t>date_first</t>
  </si>
  <si>
    <t>date_last</t>
  </si>
  <si>
    <t>DOY_mean</t>
  </si>
  <si>
    <t>n_obs</t>
  </si>
  <si>
    <t>uncertainty_flag</t>
  </si>
  <si>
    <t>count_median</t>
  </si>
  <si>
    <t>coeff_lower</t>
  </si>
  <si>
    <t>coeff_upper</t>
  </si>
  <si>
    <t>coeff_se_pm</t>
  </si>
  <si>
    <t>obs_std</t>
  </si>
  <si>
    <t>obs_sem</t>
  </si>
  <si>
    <t>obs_lower</t>
  </si>
  <si>
    <t>obs_upper</t>
  </si>
  <si>
    <t>combined_lower</t>
  </si>
  <si>
    <t>combined_upper</t>
  </si>
  <si>
    <t>combined_se_pm</t>
  </si>
  <si>
    <t>mean_range_pct</t>
  </si>
  <si>
    <t>single obs</t>
  </si>
  <si>
    <t>good</t>
  </si>
  <si>
    <t>2024-03-23-02-39-08_UMBRA-06_GEC.tif</t>
  </si>
  <si>
    <t>169.2750659333333</t>
  </si>
  <si>
    <t>no</t>
  </si>
  <si>
    <t>02:39:08 UTC</t>
  </si>
  <si>
    <t>2024-04-04-13-25-53_UMBRA-05_GEC.tif</t>
  </si>
  <si>
    <t>13:25:53 UTC</t>
  </si>
  <si>
    <t>2024-04-06-22-22-05_UMBRA-07_GEC.tif</t>
  </si>
  <si>
    <t>22:22:05 UTC</t>
  </si>
  <si>
    <t>2024-04-23-15-16-44_UMBRA-07_GEC.tif</t>
  </si>
  <si>
    <t>females present</t>
  </si>
  <si>
    <t>15:16:44 UTC</t>
  </si>
  <si>
    <t>2024-05-02-15-27-32_UMBRA-07_GEC.tif</t>
  </si>
  <si>
    <t>15:27:32 UTC</t>
  </si>
  <si>
    <t>2024-05-17-22-24-29_UMBRA-07_GEC.tif</t>
  </si>
  <si>
    <t>22:24:29 UTC</t>
  </si>
  <si>
    <t>2024-06-01-14-57-01_UMBRA-07_GEC.tif</t>
  </si>
  <si>
    <t>14:57:01 UTC</t>
  </si>
  <si>
    <t>2024-06-07-21-38-12_UMBRA-08_GEC.tif</t>
  </si>
  <si>
    <t>21:38:12 UTC</t>
  </si>
  <si>
    <t>2024-06-20-12-46-04_UMBRA-07_GEC.tif</t>
  </si>
  <si>
    <t>12:46:04 UTC</t>
  </si>
  <si>
    <t>2024-06-24-21-20-53_UMBRA-08_GEC.tif</t>
  </si>
  <si>
    <t>male huddle</t>
  </si>
  <si>
    <t>21:20:53 UTC</t>
  </si>
  <si>
    <t>2024-07-09-18-32-15_UMBRA-05_GEC.tif</t>
  </si>
  <si>
    <t>18:32:15 UTC</t>
  </si>
  <si>
    <t>2024-07-16-19-42-39_UMBRA-07_GEC.tif</t>
  </si>
  <si>
    <t>19:42:39 UTC</t>
  </si>
  <si>
    <t>2024-08-06-13-47-45_UMBRA-04_GEC.tif</t>
  </si>
  <si>
    <t>female return</t>
  </si>
  <si>
    <t>13:47:45 UTC</t>
  </si>
  <si>
    <t>2024-08-09-19-26-21_UMBRA-07_GEC.tif</t>
  </si>
  <si>
    <t>19:26:21 UTC</t>
  </si>
  <si>
    <t>2024-03-30-10-57-25_UMBRA-05_GEC.tif</t>
  </si>
  <si>
    <t>10:57:25 UTC</t>
  </si>
  <si>
    <t>2024-04-12-13-42-46_UMBRA-07_GEC.tif</t>
  </si>
  <si>
    <t>13:42:46 UTC</t>
  </si>
  <si>
    <t>2024-05-02-20-09-23_UMBRA-08_GEC.tif</t>
  </si>
  <si>
    <t>20:09:23 UTC</t>
  </si>
  <si>
    <t>2024-05-09-20-35-25_UMBRA-08_GEC.tif</t>
  </si>
  <si>
    <t>20:35:25 UTC</t>
  </si>
  <si>
    <t>2024-05-17-21-15-19_UMBRA-04_GEC.tif</t>
  </si>
  <si>
    <t>21:15:19 UTC</t>
  </si>
  <si>
    <t>2024-05-24-21-22-03_UMBRA-05_GEC.tif</t>
  </si>
  <si>
    <t>21:22:03 UTC</t>
  </si>
  <si>
    <t>2024-06-01-13-23-51_UMBRA-07_GEC.tif</t>
  </si>
  <si>
    <t>13:23:51 UTC</t>
  </si>
  <si>
    <t>2024-06-07-10-57-16_UMBRA-05_GEC.tif</t>
  </si>
  <si>
    <t>10:57:16 UTC</t>
  </si>
  <si>
    <t>2024-06-21-12-19-39_UMBRA-04_GEC.tif</t>
  </si>
  <si>
    <t>12:19:39 UTC</t>
  </si>
  <si>
    <t>2024-06-25-21-07-07_UMBRA-08_GEC.tif</t>
  </si>
  <si>
    <t>21:07:07 UTC</t>
  </si>
  <si>
    <t>2024-07-10-13-13-50_UMBRA-07_GEC.tif</t>
  </si>
  <si>
    <t>13:13:50 UTC</t>
  </si>
  <si>
    <t>2024-07-16-11-53-21_UMBRA-08_GEC.tif</t>
  </si>
  <si>
    <t>11:53:21 UTC</t>
  </si>
  <si>
    <t>2024-08-09-20-58-58_UMBRA-07_GEC.tif</t>
  </si>
  <si>
    <t>20:58:58 UTC</t>
  </si>
  <si>
    <t>2024-03-30-12-16-12_UMBRA-08_GEC.tif</t>
  </si>
  <si>
    <t>12:16:12 UTC</t>
  </si>
  <si>
    <t>2024-04-23-13-06-28_UMBRA-04_GEC.tif</t>
  </si>
  <si>
    <t>13:06:28 UTC</t>
  </si>
  <si>
    <t>2024-04-29-11-25-34_UMBRA-04_GEC.tif</t>
  </si>
  <si>
    <t>11:25:34 UTC</t>
  </si>
  <si>
    <t>2024-05-09-20-36-21_UMBRA-07_GEC.tif</t>
  </si>
  <si>
    <t>20:36:21 UTC</t>
  </si>
  <si>
    <t>2024-05-24-21-23-01_UMBRA-05_GEC.tif</t>
  </si>
  <si>
    <t>21:23:01 UTC</t>
  </si>
  <si>
    <t>2024-06-06-14-00-06_UMBRA-08_GEC.tif</t>
  </si>
  <si>
    <t>14:00:06 UTC</t>
  </si>
  <si>
    <t>2024-06-20-11-32-16_UMBRA-05_GEC.tif</t>
  </si>
  <si>
    <t>11:32:16 UTC</t>
  </si>
  <si>
    <t>2024-06-25-19-54-29_UMBRA-05_GEC.tif</t>
  </si>
  <si>
    <t>19:54:29 UTC</t>
  </si>
  <si>
    <t>2024-07-10-12-08-23_UMBRA-04_GEC.tif</t>
  </si>
  <si>
    <t>12:08:23 UTC</t>
  </si>
  <si>
    <t>2024-08-06-12-17-34_UMBRA-04_GEC.tif</t>
  </si>
  <si>
    <t>12:17:34 UTC</t>
  </si>
  <si>
    <t>2024-08-09-21-35-14_UMBRA-04_GEC.tif</t>
  </si>
  <si>
    <t>21:35:14 UTC</t>
  </si>
  <si>
    <t>2024-04-23-13-43-22_UMBRA-07_GEC.tif</t>
  </si>
  <si>
    <t>169.63747181176473</t>
  </si>
  <si>
    <t>13:43:22 UTC</t>
  </si>
  <si>
    <t>2024-04-29-20-37-31_UMBRA-07_GEC.tif</t>
  </si>
  <si>
    <t>169.64700392857145</t>
  </si>
  <si>
    <t>20:37:31 UTC</t>
  </si>
  <si>
    <t>2024-05-02-18-48-22_UMBRA-05_GEC.tif</t>
  </si>
  <si>
    <t>169.64298715714287</t>
  </si>
  <si>
    <t>18:48:22 UTC</t>
  </si>
  <si>
    <t>2024-05-24-21-36-07_UMBRA-04_GEC.tif</t>
  </si>
  <si>
    <t>169.63550406666667</t>
  </si>
  <si>
    <t>21:36:07 UTC</t>
  </si>
  <si>
    <t>2024-06-01-21-08-56_UMBRA-04_GEC.tif</t>
  </si>
  <si>
    <t>169.6363682583333</t>
  </si>
  <si>
    <t>21:08:56 UTC</t>
  </si>
  <si>
    <t>2024-06-07-12-39-24_UMBRA-04_GEC.tif</t>
  </si>
  <si>
    <t>12:39:24 UTC</t>
  </si>
  <si>
    <t>2024-06-19-20-47-45_UMBRA-07_GEC.tif</t>
  </si>
  <si>
    <t>169.6368220117647</t>
  </si>
  <si>
    <t>20:47:45 UTC</t>
  </si>
  <si>
    <t>2024-06-25-13-19-13_UMBRA-08_GEC.tif</t>
  </si>
  <si>
    <t>169.63595610000002</t>
  </si>
  <si>
    <t>13:19:13 UTC</t>
  </si>
  <si>
    <t>2024-07-10-21-17-47_UMBRA-04_GEC.tif</t>
  </si>
  <si>
    <t>21:17:47 UTC</t>
  </si>
  <si>
    <t>2024-07-16-13-27-00_UMBRA-07_GEC.tif</t>
  </si>
  <si>
    <t>13:27:00 UTC</t>
  </si>
  <si>
    <t>2024-08-06-12-10-54_UMBRA-05_GEC.tif</t>
  </si>
  <si>
    <t>169.64071567142858</t>
  </si>
  <si>
    <t>12:10:54 UTC</t>
  </si>
  <si>
    <t>2024-08-08-19-29-30_UMBRA-05_GEC.tif</t>
  </si>
  <si>
    <t>169.63273729999997</t>
  </si>
  <si>
    <t>19:29:30 UTC</t>
  </si>
  <si>
    <t>2024-03-29-19-15-03_UMBRA-04_GEC.tif</t>
  </si>
  <si>
    <t>19:15:03 UTC</t>
  </si>
  <si>
    <t>2024-03-30-10-08-04_UMBRA-06_GEC.tif</t>
  </si>
  <si>
    <t>10:08:04 UTC</t>
  </si>
  <si>
    <t>2024-04-06-21-02-03_UMBRA-05_GEC.tif</t>
  </si>
  <si>
    <t>21:02:03 UTC</t>
  </si>
  <si>
    <t>2024-04-23-15-17-29_UMBRA-07_GEC.tif</t>
  </si>
  <si>
    <t>15:17:29 UTC</t>
  </si>
  <si>
    <t>2024-04-29-11-24-50_UMBRA-04_GEC.tif</t>
  </si>
  <si>
    <t>11:24:50 UTC</t>
  </si>
  <si>
    <t>2024-05-02-15-28-16_UMBRA-07_GEC.tif</t>
  </si>
  <si>
    <t>15:28:16 UTC</t>
  </si>
  <si>
    <t>2024-05-09-21-19-25_UMBRA-04_GEC.tif</t>
  </si>
  <si>
    <t>21:19:25 UTC</t>
  </si>
  <si>
    <t>2024-05-17-21-03-38_UMBRA-05_GEC.tif</t>
  </si>
  <si>
    <t>21:03:38 UTC</t>
  </si>
  <si>
    <t>2024-05-24-21-23-43_UMBRA-05_GEC.tif</t>
  </si>
  <si>
    <t>21:23:43 UTC</t>
  </si>
  <si>
    <t>2024-06-07-18-46-38_UMBRA-05_GEC.tif</t>
  </si>
  <si>
    <t>18:46:38 UTC</t>
  </si>
  <si>
    <t>2024-06-24-20-55-35_UMBRA-04_GEC.tif</t>
  </si>
  <si>
    <t>20:55:35 UTC</t>
  </si>
  <si>
    <t>2024-08-09-20-49-47_UMBRA-05_GEC.tif</t>
  </si>
  <si>
    <t>20:49:47 UTC</t>
  </si>
  <si>
    <t>phenology_est</t>
  </si>
  <si>
    <t>datetime</t>
  </si>
  <si>
    <t>b_pres</t>
  </si>
  <si>
    <t>1e-04</t>
  </si>
  <si>
    <t>breeding_adult</t>
  </si>
  <si>
    <t>count_mean-bp</t>
  </si>
  <si>
    <t>Subarea 88.11</t>
  </si>
  <si>
    <t>Subarea 88.12</t>
  </si>
  <si>
    <t xml:space="preserve">colony_full </t>
  </si>
  <si>
    <t>count</t>
  </si>
  <si>
    <t>season</t>
  </si>
  <si>
    <t>age</t>
  </si>
  <si>
    <t xml:space="preserve">credit </t>
  </si>
  <si>
    <t>spring</t>
  </si>
  <si>
    <t>chicks</t>
  </si>
  <si>
    <t xml:space="preserve">Jeong-Hoon Kim </t>
  </si>
  <si>
    <t>Annie Schmidt, Grant Ballard</t>
  </si>
  <si>
    <t xml:space="preserve">UAV drone survey </t>
  </si>
  <si>
    <t>adults</t>
  </si>
  <si>
    <t>small group (178) up on ice shelf missed in count but could not tell difference between chicks or adults, count is an underestimate</t>
  </si>
  <si>
    <t xml:space="preserve">Cape Roget </t>
  </si>
  <si>
    <t xml:space="preserve">also have pre 2024 data if necessary </t>
  </si>
  <si>
    <t xml:space="preserve">Cape Washington </t>
  </si>
  <si>
    <t>VHR-rho</t>
  </si>
  <si>
    <t xml:space="preserve">type </t>
  </si>
  <si>
    <t>count_se</t>
  </si>
  <si>
    <t>individuals</t>
  </si>
  <si>
    <t>VHR-bayes</t>
  </si>
  <si>
    <t>abundance index</t>
  </si>
  <si>
    <t>breeding pairs</t>
  </si>
  <si>
    <t>SAR-bp</t>
  </si>
  <si>
    <t>no birds visible</t>
  </si>
  <si>
    <t>no VHR image acquired in 2024</t>
  </si>
  <si>
    <t>birds too dispersed to quantify</t>
  </si>
  <si>
    <t>removed</t>
  </si>
  <si>
    <t>coeff_sd_pm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</si>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</sst>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0" fillId="0" borderId="0" xfId="0" quotePrefix="1"/>
    <xf numFmtId="0" fontId="1" fillId="0" borderId="0" xfId="0" quotePrefix="1" applyFon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22" fontId="0" fillId="2" borderId="0" xfId="0" applyNumberFormat="1" applyFill="1"/>
    <xf numFmtId="21" fontId="0" fillId="2" borderId="0" xfId="0" applyNumberFormat="1" applyFill="1"/>
    <xf numFmtId="0" fontId="0" fillId="2" borderId="0" xfId="0" quotePrefix="1" applyFill="1"/>
    <xf numFmtId="0" fontId="1" fillId="2" borderId="0" xfId="0" quotePrefix="1" applyFont="1" applyFill="1"/>
    <xf numFmtId="0" fontId="1" fillId="2" borderId="0" xfId="0" applyFont="1" applyFill="1"/>
    <xf numFmtId="3" fontId="1" fillId="0" borderId="0" xfId="0" applyNumberFormat="1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0D2B-4DC1-4917-B8F0-45E72FC1BE7E}">
  <dimension ref="A1:AU166"/>
  <sheetViews>
    <sheetView topLeftCell="A106" workbookViewId="0">
      <selection sqref="A1:XFD1"/>
    </sheetView>
  </sheetViews>
  <sheetFormatPr defaultRowHeight="15" x14ac:dyDescent="0.25"/>
  <cols>
    <col min="1" max="1" width="12.140625" customWidth="1"/>
    <col min="3" max="3" width="18.85546875" customWidth="1"/>
    <col min="4" max="4" width="15.140625" customWidth="1"/>
    <col min="5" max="5" width="10.42578125" bestFit="1" customWidth="1"/>
    <col min="7" max="7" width="15.5703125" bestFit="1" customWidth="1"/>
    <col min="8" max="8" width="12" bestFit="1" customWidth="1"/>
    <col min="13" max="13" width="15.140625" customWidth="1"/>
  </cols>
  <sheetData>
    <row r="1" spans="1:34" x14ac:dyDescent="0.25">
      <c r="A1" t="s">
        <v>769</v>
      </c>
      <c r="B1" t="s">
        <v>69</v>
      </c>
      <c r="C1" t="s">
        <v>1072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1057</v>
      </c>
      <c r="L1" t="s">
        <v>1073</v>
      </c>
      <c r="M1" t="s">
        <v>772</v>
      </c>
      <c r="N1" t="s">
        <v>771</v>
      </c>
    </row>
    <row r="2" spans="1:34" x14ac:dyDescent="0.25">
      <c r="A2" t="s">
        <v>364</v>
      </c>
      <c r="B2" t="s">
        <v>365</v>
      </c>
      <c r="C2" t="s">
        <v>1066</v>
      </c>
      <c r="D2" s="1">
        <v>45617</v>
      </c>
      <c r="E2">
        <v>11</v>
      </c>
      <c r="F2">
        <v>21</v>
      </c>
      <c r="G2">
        <v>2024</v>
      </c>
      <c r="H2">
        <v>325</v>
      </c>
      <c r="I2">
        <v>-77.452742490000006</v>
      </c>
      <c r="J2" s="4" t="s">
        <v>911</v>
      </c>
      <c r="K2" s="14">
        <v>1075</v>
      </c>
      <c r="M2" t="s">
        <v>1066</v>
      </c>
      <c r="N2" t="s">
        <v>1064</v>
      </c>
    </row>
    <row r="3" spans="1:34" x14ac:dyDescent="0.25">
      <c r="A3" t="s">
        <v>364</v>
      </c>
      <c r="B3" t="s">
        <v>365</v>
      </c>
      <c r="C3" t="s">
        <v>1066</v>
      </c>
      <c r="D3" s="1">
        <v>45983</v>
      </c>
      <c r="E3">
        <v>11</v>
      </c>
      <c r="F3">
        <v>22</v>
      </c>
      <c r="G3">
        <v>2025</v>
      </c>
      <c r="H3">
        <v>326</v>
      </c>
      <c r="I3">
        <v>-77.452742490000006</v>
      </c>
      <c r="J3" s="4" t="s">
        <v>911</v>
      </c>
      <c r="K3" s="14">
        <v>627</v>
      </c>
      <c r="M3" t="s">
        <v>1066</v>
      </c>
      <c r="N3" t="s">
        <v>1064</v>
      </c>
    </row>
    <row r="4" spans="1:34" x14ac:dyDescent="0.25">
      <c r="A4" t="s">
        <v>240</v>
      </c>
      <c r="B4" t="s">
        <v>241</v>
      </c>
      <c r="C4" t="s">
        <v>1062</v>
      </c>
      <c r="D4" s="1">
        <v>45617</v>
      </c>
      <c r="E4">
        <v>11</v>
      </c>
      <c r="F4">
        <v>21</v>
      </c>
      <c r="G4">
        <v>2024</v>
      </c>
      <c r="H4">
        <v>325</v>
      </c>
      <c r="I4">
        <v>-73.349999999999994</v>
      </c>
      <c r="J4">
        <v>169.61</v>
      </c>
      <c r="K4" s="14">
        <v>21242</v>
      </c>
      <c r="L4" t="s">
        <v>885</v>
      </c>
      <c r="M4" t="s">
        <v>1062</v>
      </c>
      <c r="N4" t="s">
        <v>1063</v>
      </c>
    </row>
    <row r="5" spans="1:34" x14ac:dyDescent="0.25">
      <c r="A5" t="s">
        <v>240</v>
      </c>
      <c r="B5" t="s">
        <v>241</v>
      </c>
      <c r="C5" t="s">
        <v>1062</v>
      </c>
      <c r="D5" s="1">
        <v>45997</v>
      </c>
      <c r="E5">
        <v>12</v>
      </c>
      <c r="F5">
        <v>6</v>
      </c>
      <c r="G5">
        <v>2025</v>
      </c>
      <c r="H5">
        <v>340</v>
      </c>
      <c r="I5">
        <v>-73.349999999999994</v>
      </c>
      <c r="J5">
        <v>169.61</v>
      </c>
      <c r="K5" s="14">
        <v>6686</v>
      </c>
      <c r="L5" t="s">
        <v>885</v>
      </c>
      <c r="M5" t="s">
        <v>1062</v>
      </c>
      <c r="N5" t="s">
        <v>1063</v>
      </c>
    </row>
    <row r="6" spans="1:34" x14ac:dyDescent="0.25">
      <c r="A6" t="s">
        <v>364</v>
      </c>
      <c r="B6" t="s">
        <v>365</v>
      </c>
      <c r="C6" t="s">
        <v>1062</v>
      </c>
      <c r="D6" s="1">
        <v>45617</v>
      </c>
      <c r="E6">
        <v>11</v>
      </c>
      <c r="F6">
        <v>21</v>
      </c>
      <c r="G6">
        <v>2024</v>
      </c>
      <c r="H6">
        <v>325</v>
      </c>
      <c r="I6">
        <v>-77.452742490000006</v>
      </c>
      <c r="J6" s="4" t="s">
        <v>911</v>
      </c>
      <c r="K6" s="14">
        <v>2773</v>
      </c>
      <c r="M6" t="s">
        <v>1062</v>
      </c>
      <c r="N6" t="s">
        <v>1064</v>
      </c>
    </row>
    <row r="7" spans="1:34" x14ac:dyDescent="0.25">
      <c r="A7" t="s">
        <v>364</v>
      </c>
      <c r="B7" t="s">
        <v>365</v>
      </c>
      <c r="C7" t="s">
        <v>1062</v>
      </c>
      <c r="D7" s="1">
        <v>45983</v>
      </c>
      <c r="E7">
        <v>11</v>
      </c>
      <c r="F7">
        <v>22</v>
      </c>
      <c r="G7">
        <v>2025</v>
      </c>
      <c r="H7">
        <v>326</v>
      </c>
      <c r="I7">
        <v>-77.452742490000006</v>
      </c>
      <c r="J7" s="4" t="s">
        <v>911</v>
      </c>
      <c r="K7" s="14">
        <v>2782</v>
      </c>
      <c r="M7" t="s">
        <v>1062</v>
      </c>
      <c r="N7" t="s">
        <v>1064</v>
      </c>
    </row>
    <row r="8" spans="1:34" x14ac:dyDescent="0.25">
      <c r="A8" t="s">
        <v>538</v>
      </c>
      <c r="B8" t="s">
        <v>539</v>
      </c>
      <c r="C8" t="s">
        <v>1062</v>
      </c>
      <c r="D8" s="1">
        <v>45974</v>
      </c>
      <c r="E8">
        <v>11</v>
      </c>
      <c r="F8">
        <v>13</v>
      </c>
      <c r="G8">
        <v>2025</v>
      </c>
      <c r="H8">
        <v>317</v>
      </c>
      <c r="I8">
        <v>-71.983065999999994</v>
      </c>
      <c r="J8">
        <v>170.60781700000001</v>
      </c>
      <c r="K8" s="14">
        <v>7736</v>
      </c>
      <c r="M8" t="s">
        <v>1062</v>
      </c>
      <c r="N8" t="s">
        <v>1063</v>
      </c>
    </row>
    <row r="9" spans="1:34" x14ac:dyDescent="0.25">
      <c r="A9" t="s">
        <v>538</v>
      </c>
      <c r="B9" t="s">
        <v>539</v>
      </c>
      <c r="C9" t="s">
        <v>1062</v>
      </c>
      <c r="D9" s="1">
        <v>45617</v>
      </c>
      <c r="E9" s="16">
        <v>11</v>
      </c>
      <c r="F9" s="16">
        <v>21</v>
      </c>
      <c r="G9">
        <v>2024</v>
      </c>
      <c r="H9">
        <v>325</v>
      </c>
      <c r="I9">
        <v>-71.983065999999994</v>
      </c>
      <c r="J9">
        <v>170.60781700000001</v>
      </c>
      <c r="K9" s="14">
        <v>7397</v>
      </c>
      <c r="M9" t="s">
        <v>1062</v>
      </c>
      <c r="N9" t="s">
        <v>1063</v>
      </c>
    </row>
    <row r="10" spans="1:34" x14ac:dyDescent="0.25">
      <c r="A10" t="s">
        <v>623</v>
      </c>
      <c r="B10" t="s">
        <v>624</v>
      </c>
      <c r="C10" t="s">
        <v>1062</v>
      </c>
      <c r="D10" s="1">
        <v>45611</v>
      </c>
      <c r="E10">
        <v>11</v>
      </c>
      <c r="F10">
        <v>15</v>
      </c>
      <c r="G10">
        <v>2024</v>
      </c>
      <c r="H10">
        <v>319</v>
      </c>
      <c r="I10">
        <v>-74.647856700000006</v>
      </c>
      <c r="J10">
        <v>165.39687258571399</v>
      </c>
      <c r="K10" s="14">
        <v>13803</v>
      </c>
      <c r="M10" t="s">
        <v>1062</v>
      </c>
      <c r="N10" t="s">
        <v>1063</v>
      </c>
      <c r="P10" s="1"/>
      <c r="R10" s="2"/>
      <c r="AA10" s="6"/>
      <c r="AH10" s="6"/>
    </row>
    <row r="11" spans="1:34" x14ac:dyDescent="0.25">
      <c r="A11" t="s">
        <v>623</v>
      </c>
      <c r="B11" t="s">
        <v>624</v>
      </c>
      <c r="C11" t="s">
        <v>1062</v>
      </c>
      <c r="D11" s="1">
        <v>45970</v>
      </c>
      <c r="E11">
        <v>11</v>
      </c>
      <c r="F11">
        <v>9</v>
      </c>
      <c r="G11">
        <v>2025</v>
      </c>
      <c r="H11">
        <v>313</v>
      </c>
      <c r="I11">
        <v>-74.647856700000006</v>
      </c>
      <c r="J11">
        <v>165.39687258571399</v>
      </c>
      <c r="K11" s="14">
        <v>14297</v>
      </c>
      <c r="M11" t="s">
        <v>1062</v>
      </c>
      <c r="N11" t="s">
        <v>1063</v>
      </c>
      <c r="P11" s="1"/>
      <c r="R11" s="2"/>
      <c r="AA11" s="6"/>
      <c r="AH11" s="6"/>
    </row>
    <row r="12" spans="1:34" x14ac:dyDescent="0.25">
      <c r="A12" t="s">
        <v>0</v>
      </c>
      <c r="B12" t="s">
        <v>1</v>
      </c>
      <c r="C12" t="s">
        <v>1074</v>
      </c>
      <c r="D12" s="1">
        <v>45771</v>
      </c>
      <c r="E12">
        <v>4</v>
      </c>
      <c r="F12">
        <v>24</v>
      </c>
      <c r="G12">
        <v>2025</v>
      </c>
      <c r="H12">
        <v>114</v>
      </c>
      <c r="I12">
        <v>-76.932184000000007</v>
      </c>
      <c r="J12">
        <v>166.94161800000001</v>
      </c>
      <c r="K12" s="6"/>
      <c r="M12" t="s">
        <v>890</v>
      </c>
      <c r="N12" t="s">
        <v>1079</v>
      </c>
    </row>
    <row r="13" spans="1:34" x14ac:dyDescent="0.25">
      <c r="A13" t="s">
        <v>0</v>
      </c>
      <c r="B13" t="s">
        <v>1</v>
      </c>
      <c r="C13" t="s">
        <v>1074</v>
      </c>
      <c r="D13" s="1">
        <v>45799</v>
      </c>
      <c r="E13">
        <v>5</v>
      </c>
      <c r="F13">
        <v>22</v>
      </c>
      <c r="G13">
        <v>2025</v>
      </c>
      <c r="H13">
        <v>142</v>
      </c>
      <c r="I13">
        <v>-76.932184000000007</v>
      </c>
      <c r="J13">
        <v>166.94161800000001</v>
      </c>
      <c r="K13" s="6"/>
      <c r="M13" t="s">
        <v>890</v>
      </c>
      <c r="N13" t="s">
        <v>1079</v>
      </c>
    </row>
    <row r="14" spans="1:34" x14ac:dyDescent="0.25">
      <c r="A14" t="s">
        <v>0</v>
      </c>
      <c r="B14" t="s">
        <v>1</v>
      </c>
      <c r="C14" t="s">
        <v>1074</v>
      </c>
      <c r="D14" s="1">
        <v>45822</v>
      </c>
      <c r="E14">
        <v>6</v>
      </c>
      <c r="F14">
        <v>14</v>
      </c>
      <c r="G14">
        <v>2025</v>
      </c>
      <c r="H14">
        <v>165</v>
      </c>
      <c r="I14">
        <v>-76.932184000000007</v>
      </c>
      <c r="J14">
        <v>166.94161800000001</v>
      </c>
      <c r="K14" s="5" t="s">
        <v>32</v>
      </c>
      <c r="L14">
        <v>62.291690135050104</v>
      </c>
      <c r="M14" t="s">
        <v>890</v>
      </c>
    </row>
    <row r="15" spans="1:34" x14ac:dyDescent="0.25">
      <c r="A15" t="s">
        <v>0</v>
      </c>
      <c r="B15" t="s">
        <v>1</v>
      </c>
      <c r="C15" t="s">
        <v>1074</v>
      </c>
      <c r="D15" s="1">
        <v>45838</v>
      </c>
      <c r="E15">
        <v>6</v>
      </c>
      <c r="F15">
        <v>30</v>
      </c>
      <c r="G15">
        <v>2025</v>
      </c>
      <c r="H15">
        <v>181</v>
      </c>
      <c r="I15">
        <v>-76.932184000000007</v>
      </c>
      <c r="J15">
        <v>166.94161800000001</v>
      </c>
      <c r="K15" s="6"/>
      <c r="M15" t="s">
        <v>890</v>
      </c>
      <c r="N15" t="s">
        <v>1079</v>
      </c>
    </row>
    <row r="16" spans="1:34" x14ac:dyDescent="0.25">
      <c r="A16" t="s">
        <v>0</v>
      </c>
      <c r="B16" t="s">
        <v>1</v>
      </c>
      <c r="C16" t="s">
        <v>1074</v>
      </c>
      <c r="D16" s="1">
        <v>45847</v>
      </c>
      <c r="E16">
        <v>7</v>
      </c>
      <c r="F16">
        <v>9</v>
      </c>
      <c r="G16">
        <v>2025</v>
      </c>
      <c r="H16">
        <v>190</v>
      </c>
      <c r="I16">
        <v>-76.932184000000007</v>
      </c>
      <c r="J16">
        <v>166.94161800000001</v>
      </c>
      <c r="K16" s="5" t="s">
        <v>55</v>
      </c>
      <c r="L16">
        <v>67.219795300505297</v>
      </c>
      <c r="M16" t="s">
        <v>890</v>
      </c>
    </row>
    <row r="17" spans="1:14" x14ac:dyDescent="0.25">
      <c r="A17" t="s">
        <v>0</v>
      </c>
      <c r="B17" t="s">
        <v>1</v>
      </c>
      <c r="C17" t="s">
        <v>1074</v>
      </c>
      <c r="D17" s="1">
        <v>45890</v>
      </c>
      <c r="E17">
        <v>8</v>
      </c>
      <c r="F17">
        <v>21</v>
      </c>
      <c r="G17">
        <v>2025</v>
      </c>
      <c r="H17">
        <v>233</v>
      </c>
      <c r="I17">
        <v>-76.932184000000007</v>
      </c>
      <c r="J17">
        <v>166.94161800000001</v>
      </c>
      <c r="K17" s="6"/>
      <c r="M17" t="s">
        <v>890</v>
      </c>
      <c r="N17" t="s">
        <v>1079</v>
      </c>
    </row>
    <row r="18" spans="1:14" x14ac:dyDescent="0.25">
      <c r="A18" t="s">
        <v>111</v>
      </c>
      <c r="B18" t="s">
        <v>112</v>
      </c>
      <c r="C18" t="s">
        <v>1074</v>
      </c>
      <c r="D18" s="1">
        <v>45770</v>
      </c>
      <c r="E18">
        <v>4</v>
      </c>
      <c r="F18">
        <v>23</v>
      </c>
      <c r="G18">
        <v>2025</v>
      </c>
      <c r="H18">
        <v>113</v>
      </c>
      <c r="I18">
        <v>-77.151399999999995</v>
      </c>
      <c r="J18">
        <v>-157.58410000000001</v>
      </c>
      <c r="K18" s="6">
        <v>40270.799863264299</v>
      </c>
      <c r="L18" s="6">
        <v>4174.5088831519297</v>
      </c>
      <c r="M18" t="s">
        <v>890</v>
      </c>
    </row>
    <row r="19" spans="1:14" x14ac:dyDescent="0.25">
      <c r="A19" t="s">
        <v>111</v>
      </c>
      <c r="B19" t="s">
        <v>112</v>
      </c>
      <c r="C19" t="s">
        <v>1074</v>
      </c>
      <c r="D19" s="1">
        <v>45790</v>
      </c>
      <c r="E19">
        <v>5</v>
      </c>
      <c r="F19">
        <v>13</v>
      </c>
      <c r="G19">
        <v>2025</v>
      </c>
      <c r="H19">
        <v>133</v>
      </c>
      <c r="I19">
        <v>-77.151399999999995</v>
      </c>
      <c r="J19">
        <v>-157.58410000000001</v>
      </c>
      <c r="K19" s="6">
        <v>34153.465812051698</v>
      </c>
      <c r="L19" s="6">
        <v>3378.5193882124499</v>
      </c>
      <c r="M19" t="s">
        <v>890</v>
      </c>
    </row>
    <row r="20" spans="1:14" x14ac:dyDescent="0.25">
      <c r="A20" t="s">
        <v>111</v>
      </c>
      <c r="B20" t="s">
        <v>112</v>
      </c>
      <c r="C20" t="s">
        <v>1074</v>
      </c>
      <c r="D20" s="1">
        <v>45799</v>
      </c>
      <c r="E20">
        <v>5</v>
      </c>
      <c r="F20">
        <v>22</v>
      </c>
      <c r="G20">
        <v>2025</v>
      </c>
      <c r="H20">
        <v>142</v>
      </c>
      <c r="I20">
        <v>-77.151399999999995</v>
      </c>
      <c r="J20">
        <v>-157.58410000000001</v>
      </c>
      <c r="K20" s="6"/>
      <c r="L20" s="6"/>
      <c r="M20" t="s">
        <v>890</v>
      </c>
      <c r="N20" t="s">
        <v>1081</v>
      </c>
    </row>
    <row r="21" spans="1:14" x14ac:dyDescent="0.25">
      <c r="A21" t="s">
        <v>111</v>
      </c>
      <c r="B21" t="s">
        <v>112</v>
      </c>
      <c r="C21" t="s">
        <v>1074</v>
      </c>
      <c r="D21" s="1">
        <v>45813</v>
      </c>
      <c r="E21">
        <v>6</v>
      </c>
      <c r="F21">
        <v>5</v>
      </c>
      <c r="G21">
        <v>2025</v>
      </c>
      <c r="H21">
        <v>156</v>
      </c>
      <c r="I21">
        <v>-77.151399999999995</v>
      </c>
      <c r="J21">
        <v>-157.58410000000001</v>
      </c>
      <c r="K21" s="6">
        <v>31649.707314757899</v>
      </c>
      <c r="L21" s="6">
        <v>3612.6934604808398</v>
      </c>
      <c r="M21" t="s">
        <v>890</v>
      </c>
    </row>
    <row r="22" spans="1:14" x14ac:dyDescent="0.25">
      <c r="A22" t="s">
        <v>111</v>
      </c>
      <c r="B22" t="s">
        <v>112</v>
      </c>
      <c r="C22" t="s">
        <v>1074</v>
      </c>
      <c r="D22" s="1">
        <v>45821</v>
      </c>
      <c r="E22">
        <v>6</v>
      </c>
      <c r="F22">
        <v>13</v>
      </c>
      <c r="G22">
        <v>2025</v>
      </c>
      <c r="H22">
        <v>164</v>
      </c>
      <c r="I22">
        <v>-77.151399999999995</v>
      </c>
      <c r="J22">
        <v>-157.58410000000001</v>
      </c>
      <c r="K22" s="6">
        <v>23428.610690090401</v>
      </c>
      <c r="L22" s="6">
        <v>2104.8003615698599</v>
      </c>
      <c r="M22" t="s">
        <v>890</v>
      </c>
    </row>
    <row r="23" spans="1:14" x14ac:dyDescent="0.25">
      <c r="A23" t="s">
        <v>111</v>
      </c>
      <c r="B23" t="s">
        <v>112</v>
      </c>
      <c r="C23" t="s">
        <v>1074</v>
      </c>
      <c r="D23" s="1">
        <v>45838</v>
      </c>
      <c r="E23">
        <v>6</v>
      </c>
      <c r="F23">
        <v>30</v>
      </c>
      <c r="G23">
        <v>2025</v>
      </c>
      <c r="H23">
        <v>181</v>
      </c>
      <c r="I23">
        <v>-77.151399999999995</v>
      </c>
      <c r="J23">
        <v>-157.58410000000001</v>
      </c>
      <c r="K23" s="6">
        <v>25236.6276040497</v>
      </c>
      <c r="L23" s="6">
        <v>2604.45094660836</v>
      </c>
      <c r="M23" t="s">
        <v>890</v>
      </c>
    </row>
    <row r="24" spans="1:14" x14ac:dyDescent="0.25">
      <c r="A24" t="s">
        <v>111</v>
      </c>
      <c r="B24" t="s">
        <v>112</v>
      </c>
      <c r="C24" t="s">
        <v>1074</v>
      </c>
      <c r="D24" s="1">
        <v>45846</v>
      </c>
      <c r="E24">
        <v>7</v>
      </c>
      <c r="F24">
        <v>8</v>
      </c>
      <c r="G24">
        <v>2025</v>
      </c>
      <c r="H24">
        <v>189</v>
      </c>
      <c r="I24">
        <v>-77.151399999999995</v>
      </c>
      <c r="J24">
        <v>-157.58410000000001</v>
      </c>
      <c r="K24" s="6">
        <v>25691.932526649402</v>
      </c>
      <c r="L24" s="6">
        <v>2558.0218304167302</v>
      </c>
      <c r="M24" t="s">
        <v>890</v>
      </c>
    </row>
    <row r="25" spans="1:14" x14ac:dyDescent="0.25">
      <c r="A25" t="s">
        <v>111</v>
      </c>
      <c r="B25" t="s">
        <v>112</v>
      </c>
      <c r="C25" t="s">
        <v>1074</v>
      </c>
      <c r="D25" s="1">
        <v>45863</v>
      </c>
      <c r="E25">
        <v>7</v>
      </c>
      <c r="F25">
        <v>25</v>
      </c>
      <c r="G25">
        <v>2025</v>
      </c>
      <c r="H25">
        <v>206</v>
      </c>
      <c r="I25">
        <v>-77.151399999999995</v>
      </c>
      <c r="J25">
        <v>-157.58410000000001</v>
      </c>
      <c r="K25" s="6">
        <v>21205.3218319566</v>
      </c>
      <c r="L25" s="6">
        <v>2555.4721801321498</v>
      </c>
      <c r="M25" t="s">
        <v>890</v>
      </c>
    </row>
    <row r="26" spans="1:14" x14ac:dyDescent="0.25">
      <c r="A26" t="s">
        <v>111</v>
      </c>
      <c r="B26" t="s">
        <v>112</v>
      </c>
      <c r="C26" t="s">
        <v>1074</v>
      </c>
      <c r="D26" s="1">
        <v>45875</v>
      </c>
      <c r="E26">
        <v>8</v>
      </c>
      <c r="F26">
        <v>6</v>
      </c>
      <c r="G26">
        <v>2025</v>
      </c>
      <c r="H26">
        <v>218</v>
      </c>
      <c r="I26">
        <v>-77.151399999999995</v>
      </c>
      <c r="J26">
        <v>-157.58410000000001</v>
      </c>
      <c r="K26" s="6">
        <v>18213.280790627501</v>
      </c>
      <c r="L26" s="6">
        <v>1973.2554506472</v>
      </c>
      <c r="M26" t="s">
        <v>890</v>
      </c>
    </row>
    <row r="27" spans="1:14" x14ac:dyDescent="0.25">
      <c r="A27" t="s">
        <v>111</v>
      </c>
      <c r="B27" t="s">
        <v>112</v>
      </c>
      <c r="C27" t="s">
        <v>1074</v>
      </c>
      <c r="D27" s="1">
        <v>45889</v>
      </c>
      <c r="E27">
        <v>8</v>
      </c>
      <c r="F27">
        <v>20</v>
      </c>
      <c r="G27">
        <v>2025</v>
      </c>
      <c r="H27">
        <v>232</v>
      </c>
      <c r="I27">
        <v>-77.151399999999995</v>
      </c>
      <c r="J27">
        <v>-157.58410000000001</v>
      </c>
      <c r="K27" s="6">
        <v>16744.863928868501</v>
      </c>
      <c r="L27" s="6">
        <v>1735.87303935058</v>
      </c>
      <c r="M27" t="s">
        <v>890</v>
      </c>
    </row>
    <row r="28" spans="1:14" x14ac:dyDescent="0.25">
      <c r="A28" t="s">
        <v>111</v>
      </c>
      <c r="B28" t="s">
        <v>112</v>
      </c>
      <c r="C28" t="s">
        <v>1074</v>
      </c>
      <c r="D28" s="1">
        <v>45898</v>
      </c>
      <c r="E28">
        <v>8</v>
      </c>
      <c r="F28">
        <v>29</v>
      </c>
      <c r="G28">
        <v>2025</v>
      </c>
      <c r="H28">
        <v>241</v>
      </c>
      <c r="I28">
        <v>-77.151399999999995</v>
      </c>
      <c r="J28">
        <v>-157.58410000000001</v>
      </c>
      <c r="K28" s="6"/>
      <c r="L28" s="4"/>
      <c r="M28" t="s">
        <v>890</v>
      </c>
      <c r="N28" t="s">
        <v>1081</v>
      </c>
    </row>
    <row r="29" spans="1:14" x14ac:dyDescent="0.25">
      <c r="A29" t="s">
        <v>240</v>
      </c>
      <c r="B29" t="s">
        <v>241</v>
      </c>
      <c r="C29" t="s">
        <v>1074</v>
      </c>
      <c r="D29" s="1">
        <v>45772</v>
      </c>
      <c r="E29">
        <v>4</v>
      </c>
      <c r="F29">
        <v>25</v>
      </c>
      <c r="G29">
        <v>2025</v>
      </c>
      <c r="H29">
        <v>115</v>
      </c>
      <c r="I29">
        <v>-73.354399999999998</v>
      </c>
      <c r="J29">
        <v>169.6198</v>
      </c>
      <c r="K29" s="6">
        <v>6408.6220008091004</v>
      </c>
      <c r="L29" s="6">
        <v>682.44453295591802</v>
      </c>
      <c r="M29" t="s">
        <v>890</v>
      </c>
    </row>
    <row r="30" spans="1:14" x14ac:dyDescent="0.25">
      <c r="A30" t="s">
        <v>240</v>
      </c>
      <c r="B30" t="s">
        <v>241</v>
      </c>
      <c r="C30" t="s">
        <v>1074</v>
      </c>
      <c r="D30" s="1">
        <v>45790</v>
      </c>
      <c r="E30">
        <v>5</v>
      </c>
      <c r="F30">
        <v>13</v>
      </c>
      <c r="G30">
        <v>2025</v>
      </c>
      <c r="H30">
        <v>133</v>
      </c>
      <c r="I30">
        <v>-73.354399999999998</v>
      </c>
      <c r="J30">
        <v>169.6198</v>
      </c>
      <c r="K30" s="6">
        <v>23283.574160324799</v>
      </c>
      <c r="L30" s="6">
        <v>2648.5522933645502</v>
      </c>
      <c r="M30" t="s">
        <v>890</v>
      </c>
    </row>
    <row r="31" spans="1:14" x14ac:dyDescent="0.25">
      <c r="A31" t="s">
        <v>240</v>
      </c>
      <c r="B31" t="s">
        <v>241</v>
      </c>
      <c r="C31" t="s">
        <v>1074</v>
      </c>
      <c r="D31" s="1">
        <v>45800</v>
      </c>
      <c r="E31">
        <v>5</v>
      </c>
      <c r="F31">
        <v>23</v>
      </c>
      <c r="G31">
        <v>2025</v>
      </c>
      <c r="H31">
        <v>143</v>
      </c>
      <c r="I31">
        <v>-73.354399999999998</v>
      </c>
      <c r="J31">
        <v>169.6198</v>
      </c>
      <c r="K31" s="6">
        <v>29584.915772534699</v>
      </c>
      <c r="L31" s="6">
        <v>2923.5186386999399</v>
      </c>
      <c r="M31" t="s">
        <v>890</v>
      </c>
    </row>
    <row r="32" spans="1:14" x14ac:dyDescent="0.25">
      <c r="A32" t="s">
        <v>240</v>
      </c>
      <c r="B32" t="s">
        <v>241</v>
      </c>
      <c r="C32" t="s">
        <v>1074</v>
      </c>
      <c r="D32" s="1">
        <v>45810</v>
      </c>
      <c r="E32">
        <v>6</v>
      </c>
      <c r="F32">
        <v>2</v>
      </c>
      <c r="G32">
        <v>2025</v>
      </c>
      <c r="H32">
        <v>153</v>
      </c>
      <c r="I32">
        <v>-73.354399999999998</v>
      </c>
      <c r="J32">
        <v>169.6198</v>
      </c>
      <c r="K32" s="6">
        <v>27108.563328251101</v>
      </c>
      <c r="L32" s="6">
        <v>3033.6880260632402</v>
      </c>
      <c r="M32" t="s">
        <v>890</v>
      </c>
    </row>
    <row r="33" spans="1:31" x14ac:dyDescent="0.25">
      <c r="A33" t="s">
        <v>240</v>
      </c>
      <c r="B33" t="s">
        <v>241</v>
      </c>
      <c r="C33" t="s">
        <v>1074</v>
      </c>
      <c r="D33" s="1">
        <v>45821</v>
      </c>
      <c r="E33">
        <v>6</v>
      </c>
      <c r="F33">
        <v>13</v>
      </c>
      <c r="G33">
        <v>2025</v>
      </c>
      <c r="H33">
        <v>164</v>
      </c>
      <c r="I33">
        <v>-73.354399999999998</v>
      </c>
      <c r="J33">
        <v>169.6198</v>
      </c>
      <c r="K33" s="6">
        <v>27517.382163519102</v>
      </c>
      <c r="L33" s="6">
        <v>2363.38587426198</v>
      </c>
      <c r="M33" t="s">
        <v>890</v>
      </c>
    </row>
    <row r="34" spans="1:31" x14ac:dyDescent="0.25">
      <c r="A34" t="s">
        <v>240</v>
      </c>
      <c r="B34" t="s">
        <v>241</v>
      </c>
      <c r="C34" t="s">
        <v>1074</v>
      </c>
      <c r="D34" s="1">
        <v>45838</v>
      </c>
      <c r="E34">
        <v>6</v>
      </c>
      <c r="F34">
        <v>30</v>
      </c>
      <c r="G34">
        <v>2025</v>
      </c>
      <c r="H34">
        <v>181</v>
      </c>
      <c r="I34">
        <v>-73.354399999999998</v>
      </c>
      <c r="J34">
        <v>169.6198</v>
      </c>
      <c r="K34" s="6">
        <v>20631.431619227398</v>
      </c>
      <c r="L34" s="6">
        <v>2399.4883978729199</v>
      </c>
      <c r="M34" t="s">
        <v>890</v>
      </c>
    </row>
    <row r="35" spans="1:31" x14ac:dyDescent="0.25">
      <c r="A35" t="s">
        <v>240</v>
      </c>
      <c r="B35" t="s">
        <v>241</v>
      </c>
      <c r="C35" t="s">
        <v>1074</v>
      </c>
      <c r="D35" s="1">
        <v>45849</v>
      </c>
      <c r="E35">
        <v>7</v>
      </c>
      <c r="F35">
        <v>11</v>
      </c>
      <c r="G35">
        <v>2025</v>
      </c>
      <c r="H35">
        <v>192</v>
      </c>
      <c r="I35">
        <v>-73.354399999999998</v>
      </c>
      <c r="J35">
        <v>169.6198</v>
      </c>
      <c r="K35" s="6">
        <v>16330.0238002317</v>
      </c>
      <c r="L35" s="6">
        <v>1900.1997755976399</v>
      </c>
      <c r="M35" t="s">
        <v>890</v>
      </c>
    </row>
    <row r="36" spans="1:31" x14ac:dyDescent="0.25">
      <c r="A36" t="s">
        <v>240</v>
      </c>
      <c r="B36" t="s">
        <v>241</v>
      </c>
      <c r="C36" t="s">
        <v>1074</v>
      </c>
      <c r="D36" s="1">
        <v>45862</v>
      </c>
      <c r="E36">
        <v>7</v>
      </c>
      <c r="F36">
        <v>24</v>
      </c>
      <c r="G36">
        <v>2025</v>
      </c>
      <c r="H36">
        <v>205</v>
      </c>
      <c r="I36">
        <v>-73.354399999999998</v>
      </c>
      <c r="J36">
        <v>169.6198</v>
      </c>
      <c r="K36" s="6">
        <v>14606.8083973498</v>
      </c>
      <c r="L36" s="6">
        <v>1736.78861738255</v>
      </c>
      <c r="M36" t="s">
        <v>890</v>
      </c>
    </row>
    <row r="37" spans="1:31" x14ac:dyDescent="0.25">
      <c r="A37" t="s">
        <v>240</v>
      </c>
      <c r="B37" t="s">
        <v>241</v>
      </c>
      <c r="C37" t="s">
        <v>1074</v>
      </c>
      <c r="D37" s="1">
        <v>45875</v>
      </c>
      <c r="E37">
        <v>8</v>
      </c>
      <c r="F37">
        <v>6</v>
      </c>
      <c r="G37">
        <v>2025</v>
      </c>
      <c r="H37">
        <v>218</v>
      </c>
      <c r="I37">
        <v>-73.354399999999998</v>
      </c>
      <c r="J37">
        <v>169.6198</v>
      </c>
      <c r="K37" s="6">
        <v>12784.202286092999</v>
      </c>
      <c r="L37" s="6">
        <v>1489.8274115772399</v>
      </c>
      <c r="M37" t="s">
        <v>890</v>
      </c>
    </row>
    <row r="38" spans="1:31" x14ac:dyDescent="0.25">
      <c r="A38" t="s">
        <v>240</v>
      </c>
      <c r="B38" t="s">
        <v>241</v>
      </c>
      <c r="C38" t="s">
        <v>1074</v>
      </c>
      <c r="D38" s="1">
        <v>45890</v>
      </c>
      <c r="E38">
        <v>8</v>
      </c>
      <c r="F38">
        <v>21</v>
      </c>
      <c r="G38">
        <v>2025</v>
      </c>
      <c r="H38">
        <v>233</v>
      </c>
      <c r="I38">
        <v>-73.354399999999998</v>
      </c>
      <c r="J38">
        <v>169.6198</v>
      </c>
      <c r="K38" s="6">
        <v>11262.3762052007</v>
      </c>
      <c r="L38" s="6">
        <v>1224.78184575759</v>
      </c>
      <c r="M38" t="s">
        <v>890</v>
      </c>
    </row>
    <row r="39" spans="1:31" x14ac:dyDescent="0.25">
      <c r="A39" t="s">
        <v>240</v>
      </c>
      <c r="B39" t="s">
        <v>241</v>
      </c>
      <c r="C39" t="s">
        <v>1074</v>
      </c>
      <c r="D39" s="1">
        <v>45405</v>
      </c>
      <c r="E39">
        <v>4</v>
      </c>
      <c r="F39">
        <v>23</v>
      </c>
      <c r="G39">
        <v>2024</v>
      </c>
      <c r="H39">
        <v>114</v>
      </c>
      <c r="I39">
        <v>-73.350042110000004</v>
      </c>
      <c r="J39" s="4" t="s">
        <v>992</v>
      </c>
      <c r="K39" s="6">
        <v>13994.624803553001</v>
      </c>
      <c r="L39" s="6">
        <v>1566.0679689856699</v>
      </c>
      <c r="M39" t="s">
        <v>890</v>
      </c>
    </row>
    <row r="40" spans="1:31" x14ac:dyDescent="0.25">
      <c r="A40" t="s">
        <v>240</v>
      </c>
      <c r="B40" t="s">
        <v>241</v>
      </c>
      <c r="C40" t="s">
        <v>1074</v>
      </c>
      <c r="D40" s="1">
        <v>45411</v>
      </c>
      <c r="E40">
        <v>4</v>
      </c>
      <c r="F40">
        <v>29</v>
      </c>
      <c r="G40">
        <v>2024</v>
      </c>
      <c r="H40">
        <v>120</v>
      </c>
      <c r="I40">
        <v>-73.349376169999999</v>
      </c>
      <c r="J40" s="4" t="s">
        <v>995</v>
      </c>
      <c r="K40" s="6">
        <v>24937.095885270199</v>
      </c>
      <c r="L40" s="6">
        <v>2768.66019071345</v>
      </c>
      <c r="M40" t="s">
        <v>890</v>
      </c>
      <c r="P40" s="1"/>
      <c r="R40" s="2"/>
      <c r="S40" s="4"/>
      <c r="T40" s="4"/>
      <c r="U40" s="4"/>
      <c r="V40" s="4"/>
      <c r="W40" s="4"/>
      <c r="X40" s="4"/>
      <c r="Z40" s="4"/>
      <c r="AB40" s="4"/>
      <c r="AC40" s="4"/>
      <c r="AD40" s="4"/>
      <c r="AE40" s="4"/>
    </row>
    <row r="41" spans="1:31" x14ac:dyDescent="0.25">
      <c r="A41" t="s">
        <v>240</v>
      </c>
      <c r="B41" t="s">
        <v>241</v>
      </c>
      <c r="C41" t="s">
        <v>1074</v>
      </c>
      <c r="D41" s="1">
        <v>45414</v>
      </c>
      <c r="E41">
        <v>5</v>
      </c>
      <c r="F41">
        <v>2</v>
      </c>
      <c r="G41">
        <v>2024</v>
      </c>
      <c r="H41">
        <v>123</v>
      </c>
      <c r="I41">
        <v>-73.350269580000003</v>
      </c>
      <c r="J41" s="4" t="s">
        <v>998</v>
      </c>
      <c r="K41" s="6">
        <v>23317.662830459602</v>
      </c>
      <c r="L41" s="6">
        <v>2501.2707006705</v>
      </c>
      <c r="M41" t="s">
        <v>890</v>
      </c>
      <c r="P41" s="1"/>
      <c r="R41" s="2"/>
      <c r="S41" s="4"/>
      <c r="T41" s="4"/>
      <c r="U41" s="4"/>
      <c r="V41" s="4"/>
      <c r="X41" s="4"/>
      <c r="Z41" s="4"/>
      <c r="AB41" s="4"/>
      <c r="AC41" s="4"/>
      <c r="AD41" s="4"/>
      <c r="AE41" s="4"/>
    </row>
    <row r="42" spans="1:31" x14ac:dyDescent="0.25">
      <c r="A42" t="s">
        <v>240</v>
      </c>
      <c r="B42" t="s">
        <v>241</v>
      </c>
      <c r="C42" t="s">
        <v>1074</v>
      </c>
      <c r="D42" s="1">
        <v>45436</v>
      </c>
      <c r="E42">
        <v>5</v>
      </c>
      <c r="F42">
        <v>24</v>
      </c>
      <c r="G42">
        <v>2024</v>
      </c>
      <c r="H42">
        <v>145</v>
      </c>
      <c r="I42">
        <v>-73.349310669999994</v>
      </c>
      <c r="J42" s="4" t="s">
        <v>1001</v>
      </c>
      <c r="K42" s="6">
        <v>29189.220282225298</v>
      </c>
      <c r="L42" s="6">
        <v>3124.9102814468001</v>
      </c>
      <c r="M42" t="s">
        <v>890</v>
      </c>
      <c r="P42" s="1"/>
      <c r="R42" s="2"/>
      <c r="T42" s="4"/>
      <c r="U42" s="4"/>
      <c r="V42" s="4"/>
      <c r="W42" s="4"/>
      <c r="X42" s="4"/>
      <c r="AB42" s="4"/>
      <c r="AC42" s="4"/>
      <c r="AD42" s="4"/>
      <c r="AE42" s="4"/>
    </row>
    <row r="43" spans="1:31" x14ac:dyDescent="0.25">
      <c r="A43" t="s">
        <v>240</v>
      </c>
      <c r="B43" t="s">
        <v>241</v>
      </c>
      <c r="C43" t="s">
        <v>1074</v>
      </c>
      <c r="D43" s="1">
        <v>45444</v>
      </c>
      <c r="E43">
        <v>6</v>
      </c>
      <c r="F43">
        <v>1</v>
      </c>
      <c r="G43">
        <v>2024</v>
      </c>
      <c r="H43">
        <v>153</v>
      </c>
      <c r="I43">
        <v>-73.348907789999998</v>
      </c>
      <c r="J43" s="4" t="s">
        <v>1004</v>
      </c>
      <c r="K43" s="6">
        <v>24409.878398593999</v>
      </c>
      <c r="L43" s="6">
        <v>2607.9617585429</v>
      </c>
      <c r="M43" t="s">
        <v>890</v>
      </c>
      <c r="P43" s="1"/>
      <c r="R43" s="2"/>
      <c r="S43" s="4"/>
      <c r="T43" s="4"/>
      <c r="U43" s="4"/>
      <c r="Z43" s="4"/>
      <c r="AB43" s="4"/>
      <c r="AC43" s="4"/>
      <c r="AD43" s="4"/>
      <c r="AE43" s="4"/>
    </row>
    <row r="44" spans="1:31" x14ac:dyDescent="0.25">
      <c r="A44" t="s">
        <v>240</v>
      </c>
      <c r="B44" t="s">
        <v>241</v>
      </c>
      <c r="C44" t="s">
        <v>1074</v>
      </c>
      <c r="D44" s="1">
        <v>45450</v>
      </c>
      <c r="E44">
        <v>6</v>
      </c>
      <c r="F44">
        <v>7</v>
      </c>
      <c r="G44">
        <v>2024</v>
      </c>
      <c r="H44">
        <v>159</v>
      </c>
      <c r="I44">
        <v>-73.348990200000003</v>
      </c>
      <c r="J44">
        <v>169.63881739999999</v>
      </c>
      <c r="K44" s="6">
        <v>22155.770605542599</v>
      </c>
      <c r="L44" s="6">
        <v>2314.1376231466202</v>
      </c>
      <c r="M44" t="s">
        <v>890</v>
      </c>
      <c r="P44" s="1"/>
      <c r="R44" s="2"/>
      <c r="S44" s="4"/>
      <c r="T44" s="4"/>
      <c r="U44" s="4"/>
      <c r="V44" s="4"/>
      <c r="W44" s="4"/>
      <c r="X44" s="4"/>
      <c r="Z44" s="4"/>
      <c r="AB44" s="4"/>
      <c r="AC44" s="4"/>
      <c r="AD44" s="4"/>
      <c r="AE44" s="4"/>
    </row>
    <row r="45" spans="1:31" x14ac:dyDescent="0.25">
      <c r="A45" t="s">
        <v>240</v>
      </c>
      <c r="B45" t="s">
        <v>241</v>
      </c>
      <c r="C45" t="s">
        <v>1074</v>
      </c>
      <c r="D45" s="1">
        <v>45462</v>
      </c>
      <c r="E45">
        <v>6</v>
      </c>
      <c r="F45">
        <v>19</v>
      </c>
      <c r="G45">
        <v>2024</v>
      </c>
      <c r="H45">
        <v>171</v>
      </c>
      <c r="I45">
        <v>-73.347016319999994</v>
      </c>
      <c r="J45" s="4" t="s">
        <v>1009</v>
      </c>
      <c r="K45" s="6">
        <v>23841.7216372496</v>
      </c>
      <c r="L45" s="6">
        <v>2781.7457720307202</v>
      </c>
      <c r="M45" t="s">
        <v>890</v>
      </c>
      <c r="P45" s="1"/>
      <c r="R45" s="2"/>
      <c r="S45" s="4"/>
      <c r="T45" s="4"/>
      <c r="U45" s="4"/>
      <c r="V45" s="4"/>
      <c r="W45" s="4"/>
      <c r="X45" s="4"/>
      <c r="Z45" s="4"/>
      <c r="AB45" s="4"/>
      <c r="AC45" s="4"/>
      <c r="AD45" s="4"/>
      <c r="AE45" s="4"/>
    </row>
    <row r="46" spans="1:31" x14ac:dyDescent="0.25">
      <c r="A46" t="s">
        <v>240</v>
      </c>
      <c r="B46" t="s">
        <v>241</v>
      </c>
      <c r="C46" t="s">
        <v>1074</v>
      </c>
      <c r="D46" s="1">
        <v>45468</v>
      </c>
      <c r="E46">
        <v>6</v>
      </c>
      <c r="F46">
        <v>25</v>
      </c>
      <c r="G46">
        <v>2024</v>
      </c>
      <c r="H46">
        <v>177</v>
      </c>
      <c r="I46">
        <v>-73.346788489999994</v>
      </c>
      <c r="J46" s="4" t="s">
        <v>1012</v>
      </c>
      <c r="K46" s="6">
        <v>20134.0985648114</v>
      </c>
      <c r="L46" s="6">
        <v>2029.20319829766</v>
      </c>
      <c r="M46" t="s">
        <v>890</v>
      </c>
      <c r="P46" s="1"/>
      <c r="R46" s="2"/>
      <c r="S46" s="4"/>
      <c r="T46" s="4"/>
      <c r="U46" s="4"/>
      <c r="V46" s="4"/>
      <c r="W46" s="4"/>
      <c r="X46" s="4"/>
      <c r="Z46" s="4"/>
      <c r="AB46" s="4"/>
      <c r="AC46" s="4"/>
      <c r="AD46" s="4"/>
      <c r="AE46" s="4"/>
    </row>
    <row r="47" spans="1:31" x14ac:dyDescent="0.25">
      <c r="A47" t="s">
        <v>240</v>
      </c>
      <c r="B47" t="s">
        <v>241</v>
      </c>
      <c r="C47" t="s">
        <v>1074</v>
      </c>
      <c r="D47" s="1">
        <v>45483</v>
      </c>
      <c r="E47">
        <v>7</v>
      </c>
      <c r="F47">
        <v>10</v>
      </c>
      <c r="G47">
        <v>2024</v>
      </c>
      <c r="H47">
        <v>192</v>
      </c>
      <c r="I47">
        <v>-73.346788489999994</v>
      </c>
      <c r="J47" s="4" t="s">
        <v>1012</v>
      </c>
      <c r="K47" s="6">
        <v>17407.693594020398</v>
      </c>
      <c r="L47" s="6">
        <v>2022.7606989763599</v>
      </c>
      <c r="M47" t="s">
        <v>890</v>
      </c>
      <c r="P47" s="1"/>
      <c r="R47" s="2"/>
      <c r="S47" s="4"/>
      <c r="T47" s="4"/>
      <c r="U47" s="4"/>
      <c r="V47" s="4"/>
      <c r="W47" s="4"/>
      <c r="X47" s="4"/>
      <c r="Z47" s="4"/>
      <c r="AB47" s="4"/>
      <c r="AC47" s="4"/>
      <c r="AD47" s="4"/>
      <c r="AE47" s="4"/>
    </row>
    <row r="48" spans="1:31" x14ac:dyDescent="0.25">
      <c r="A48" t="s">
        <v>240</v>
      </c>
      <c r="B48" t="s">
        <v>241</v>
      </c>
      <c r="C48" t="s">
        <v>1074</v>
      </c>
      <c r="D48" s="1">
        <v>45489</v>
      </c>
      <c r="E48">
        <v>7</v>
      </c>
      <c r="F48">
        <v>16</v>
      </c>
      <c r="G48">
        <v>2024</v>
      </c>
      <c r="H48">
        <v>198</v>
      </c>
      <c r="I48">
        <v>-73.348172140000003</v>
      </c>
      <c r="J48">
        <v>169.63271979999999</v>
      </c>
      <c r="K48" s="6">
        <v>15281.968649876801</v>
      </c>
      <c r="L48" s="6">
        <v>1813.3986701030101</v>
      </c>
      <c r="M48" t="s">
        <v>890</v>
      </c>
      <c r="P48" s="1"/>
      <c r="R48" s="2"/>
      <c r="S48" s="4"/>
      <c r="T48" s="4"/>
      <c r="V48" s="4"/>
      <c r="X48" s="4"/>
      <c r="Z48" s="4"/>
      <c r="AB48" s="4"/>
      <c r="AD48" s="4"/>
      <c r="AE48" s="4"/>
    </row>
    <row r="49" spans="1:47" x14ac:dyDescent="0.25">
      <c r="A49" t="s">
        <v>240</v>
      </c>
      <c r="B49" t="s">
        <v>241</v>
      </c>
      <c r="C49" t="s">
        <v>1074</v>
      </c>
      <c r="D49" s="1">
        <v>45510</v>
      </c>
      <c r="E49">
        <v>8</v>
      </c>
      <c r="F49">
        <v>6</v>
      </c>
      <c r="G49">
        <v>2024</v>
      </c>
      <c r="H49">
        <v>219</v>
      </c>
      <c r="I49">
        <v>-73.345227539999996</v>
      </c>
      <c r="J49" s="4" t="s">
        <v>1019</v>
      </c>
      <c r="K49" s="6">
        <v>12681.0171029377</v>
      </c>
      <c r="L49" s="6">
        <v>1303.9422940076299</v>
      </c>
      <c r="M49" t="s">
        <v>890</v>
      </c>
      <c r="P49" s="1"/>
      <c r="R49" s="2"/>
      <c r="T49" s="4"/>
      <c r="U49" s="4"/>
      <c r="V49" s="4"/>
      <c r="W49" s="4"/>
      <c r="X49" s="4"/>
      <c r="Z49" s="4"/>
      <c r="AB49" s="4"/>
      <c r="AC49" s="4"/>
      <c r="AD49" s="4"/>
      <c r="AE49" s="4"/>
    </row>
    <row r="50" spans="1:47" x14ac:dyDescent="0.25">
      <c r="A50" t="s">
        <v>240</v>
      </c>
      <c r="B50" t="s">
        <v>241</v>
      </c>
      <c r="C50" t="s">
        <v>1074</v>
      </c>
      <c r="D50" s="1">
        <v>45512</v>
      </c>
      <c r="E50">
        <v>8</v>
      </c>
      <c r="F50">
        <v>8</v>
      </c>
      <c r="G50">
        <v>2024</v>
      </c>
      <c r="H50">
        <v>221</v>
      </c>
      <c r="I50">
        <v>-73.345084529999994</v>
      </c>
      <c r="J50" s="4" t="s">
        <v>1022</v>
      </c>
      <c r="K50" s="6">
        <v>11948.893135644301</v>
      </c>
      <c r="L50" s="6">
        <v>1170.2489151311399</v>
      </c>
      <c r="M50" t="s">
        <v>890</v>
      </c>
      <c r="P50" s="1"/>
      <c r="R50" s="2"/>
      <c r="S50" s="4"/>
      <c r="T50" s="4"/>
      <c r="U50" s="4"/>
      <c r="V50" s="4"/>
      <c r="W50" s="4"/>
      <c r="X50" s="4"/>
      <c r="Z50" s="4"/>
      <c r="AB50" s="4"/>
      <c r="AC50" s="4"/>
      <c r="AD50" s="4"/>
      <c r="AE50" s="4"/>
    </row>
    <row r="51" spans="1:47" x14ac:dyDescent="0.25">
      <c r="A51" t="s">
        <v>364</v>
      </c>
      <c r="B51" t="s">
        <v>365</v>
      </c>
      <c r="C51" t="s">
        <v>1074</v>
      </c>
      <c r="D51" s="1">
        <v>45771</v>
      </c>
      <c r="E51">
        <v>4</v>
      </c>
      <c r="F51">
        <v>24</v>
      </c>
      <c r="G51">
        <v>2025</v>
      </c>
      <c r="H51">
        <v>114</v>
      </c>
      <c r="I51">
        <v>-77.448746</v>
      </c>
      <c r="J51">
        <v>169.277041</v>
      </c>
      <c r="K51" s="6">
        <v>2513.9625606137802</v>
      </c>
      <c r="L51" s="6">
        <v>282.065281602906</v>
      </c>
      <c r="M51" t="s">
        <v>890</v>
      </c>
      <c r="P51" s="1"/>
      <c r="R51" s="2"/>
      <c r="S51" s="4"/>
      <c r="T51" s="4"/>
      <c r="U51" s="4"/>
      <c r="W51" s="4"/>
      <c r="Z51" s="4"/>
      <c r="AB51" s="4"/>
      <c r="AC51" s="4"/>
      <c r="AD51" s="4"/>
      <c r="AE51" s="4"/>
    </row>
    <row r="52" spans="1:47" x14ac:dyDescent="0.25">
      <c r="A52" t="s">
        <v>364</v>
      </c>
      <c r="B52" t="s">
        <v>365</v>
      </c>
      <c r="C52" t="s">
        <v>1074</v>
      </c>
      <c r="D52" s="1">
        <v>45799</v>
      </c>
      <c r="E52">
        <v>5</v>
      </c>
      <c r="F52">
        <v>22</v>
      </c>
      <c r="G52">
        <v>2025</v>
      </c>
      <c r="H52">
        <v>142</v>
      </c>
      <c r="I52">
        <v>-77.448746</v>
      </c>
      <c r="J52">
        <v>169.277041</v>
      </c>
      <c r="K52" s="6">
        <v>4501.4330363501103</v>
      </c>
      <c r="L52" s="6">
        <v>439.31680142184098</v>
      </c>
      <c r="M52" t="s">
        <v>890</v>
      </c>
      <c r="Y52" s="2"/>
      <c r="Z52" s="3"/>
      <c r="AB52" s="1"/>
      <c r="AC52" s="2"/>
      <c r="AD52" s="4"/>
      <c r="AE52" s="4"/>
      <c r="AH52" s="4"/>
      <c r="AK52" s="5"/>
      <c r="AL52" s="5"/>
      <c r="AM52" s="4"/>
      <c r="AN52" s="4"/>
      <c r="AO52" s="4"/>
      <c r="AP52" s="4"/>
    </row>
    <row r="53" spans="1:47" x14ac:dyDescent="0.25">
      <c r="A53" t="s">
        <v>364</v>
      </c>
      <c r="B53" t="s">
        <v>365</v>
      </c>
      <c r="C53" t="s">
        <v>1074</v>
      </c>
      <c r="D53" s="1">
        <v>45822</v>
      </c>
      <c r="E53">
        <v>6</v>
      </c>
      <c r="F53">
        <v>14</v>
      </c>
      <c r="G53">
        <v>2025</v>
      </c>
      <c r="H53">
        <v>165</v>
      </c>
      <c r="I53">
        <v>-77.448746</v>
      </c>
      <c r="J53">
        <v>169.277041</v>
      </c>
      <c r="K53" s="6"/>
      <c r="L53" s="6"/>
      <c r="M53" t="s">
        <v>890</v>
      </c>
      <c r="N53" t="s">
        <v>1081</v>
      </c>
      <c r="Y53" s="2"/>
      <c r="Z53" s="3"/>
      <c r="AB53" s="1"/>
      <c r="AC53" s="2"/>
      <c r="AD53" s="4"/>
      <c r="AE53" s="4"/>
      <c r="AF53" s="4"/>
      <c r="AH53" s="4"/>
      <c r="AI53" s="4"/>
      <c r="AJ53" s="4"/>
      <c r="AK53" s="5"/>
      <c r="AL53" s="5"/>
      <c r="AM53" s="4"/>
      <c r="AN53" s="4"/>
      <c r="AP53" s="4"/>
    </row>
    <row r="54" spans="1:47" x14ac:dyDescent="0.25">
      <c r="A54" t="s">
        <v>364</v>
      </c>
      <c r="B54" t="s">
        <v>365</v>
      </c>
      <c r="C54" t="s">
        <v>1074</v>
      </c>
      <c r="D54" s="1">
        <v>45838</v>
      </c>
      <c r="E54">
        <v>6</v>
      </c>
      <c r="F54">
        <v>30</v>
      </c>
      <c r="G54">
        <v>2025</v>
      </c>
      <c r="H54">
        <v>181</v>
      </c>
      <c r="I54">
        <v>-77.448746</v>
      </c>
      <c r="J54">
        <v>169.277041</v>
      </c>
      <c r="K54" s="6">
        <v>2423.5414692191498</v>
      </c>
      <c r="L54" s="6">
        <v>281.07392061099</v>
      </c>
      <c r="M54" t="s">
        <v>890</v>
      </c>
      <c r="Y54" s="2"/>
      <c r="Z54" s="3"/>
      <c r="AB54" s="1"/>
      <c r="AC54" s="2"/>
      <c r="AD54" s="4"/>
      <c r="AE54" s="4"/>
      <c r="AF54" s="4"/>
      <c r="AH54" s="4"/>
      <c r="AI54" s="4"/>
      <c r="AJ54" s="4"/>
      <c r="AK54" s="5"/>
      <c r="AL54" s="5"/>
      <c r="AM54" s="4"/>
      <c r="AN54" s="4"/>
      <c r="AO54" s="4"/>
      <c r="AP54" s="4"/>
    </row>
    <row r="55" spans="1:47" x14ac:dyDescent="0.25">
      <c r="A55" s="7" t="s">
        <v>364</v>
      </c>
      <c r="B55" s="7" t="s">
        <v>365</v>
      </c>
      <c r="C55" t="s">
        <v>1074</v>
      </c>
      <c r="D55" s="8">
        <v>45856</v>
      </c>
      <c r="E55" s="7">
        <v>7</v>
      </c>
      <c r="F55" s="7">
        <v>18</v>
      </c>
      <c r="G55" s="7">
        <v>2025</v>
      </c>
      <c r="H55" s="7">
        <v>199</v>
      </c>
      <c r="I55" s="7">
        <v>-77.448746</v>
      </c>
      <c r="J55" s="7">
        <v>169.277041</v>
      </c>
      <c r="K55" s="6">
        <v>1875.9097499479001</v>
      </c>
      <c r="L55" s="6">
        <v>176.01829178077799</v>
      </c>
      <c r="M55" t="s">
        <v>890</v>
      </c>
      <c r="Y55" s="2"/>
      <c r="Z55" s="3"/>
      <c r="AB55" s="1"/>
      <c r="AC55" s="2"/>
      <c r="AD55" s="4"/>
      <c r="AE55" s="4"/>
      <c r="AF55" s="4"/>
      <c r="AH55" s="4"/>
      <c r="AI55" s="4"/>
      <c r="AJ55" s="4"/>
      <c r="AK55" s="5"/>
      <c r="AL55" s="5"/>
      <c r="AM55" s="4"/>
      <c r="AN55" s="4"/>
      <c r="AO55" s="4"/>
      <c r="AP55" s="4"/>
    </row>
    <row r="56" spans="1:47" x14ac:dyDescent="0.25">
      <c r="A56" t="s">
        <v>364</v>
      </c>
      <c r="B56" t="s">
        <v>365</v>
      </c>
      <c r="C56" t="s">
        <v>1074</v>
      </c>
      <c r="D56" s="1">
        <v>45874</v>
      </c>
      <c r="E56">
        <v>8</v>
      </c>
      <c r="F56">
        <v>5</v>
      </c>
      <c r="G56">
        <v>2025</v>
      </c>
      <c r="H56">
        <v>217</v>
      </c>
      <c r="I56">
        <v>-77.448746</v>
      </c>
      <c r="J56">
        <v>169.277041</v>
      </c>
      <c r="K56" s="6">
        <v>1672.5357866931699</v>
      </c>
      <c r="L56" s="6">
        <v>197.88802166705801</v>
      </c>
      <c r="M56" t="s">
        <v>890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9"/>
      <c r="Z56" s="10"/>
      <c r="AA56" s="7"/>
      <c r="AB56" s="8"/>
      <c r="AC56" s="9"/>
      <c r="AD56" s="11"/>
      <c r="AE56" s="11"/>
      <c r="AF56" s="11"/>
      <c r="AG56" s="7"/>
      <c r="AH56" s="11"/>
      <c r="AI56" s="11"/>
      <c r="AJ56" s="11"/>
      <c r="AK56" s="12"/>
      <c r="AL56" s="12"/>
      <c r="AM56" s="7"/>
      <c r="AN56" s="11"/>
      <c r="AO56" s="11"/>
      <c r="AP56" s="11"/>
      <c r="AQ56" s="7"/>
      <c r="AR56" s="7"/>
      <c r="AS56" s="7"/>
      <c r="AT56" s="7"/>
      <c r="AU56" s="7"/>
    </row>
    <row r="57" spans="1:47" x14ac:dyDescent="0.25">
      <c r="A57" t="s">
        <v>364</v>
      </c>
      <c r="B57" t="s">
        <v>365</v>
      </c>
      <c r="C57" t="s">
        <v>1074</v>
      </c>
      <c r="D57" s="1">
        <v>45890</v>
      </c>
      <c r="E57">
        <v>8</v>
      </c>
      <c r="F57">
        <v>21</v>
      </c>
      <c r="G57">
        <v>2025</v>
      </c>
      <c r="H57">
        <v>233</v>
      </c>
      <c r="I57">
        <v>-77.448746</v>
      </c>
      <c r="J57">
        <v>169.277041</v>
      </c>
      <c r="K57" s="6">
        <v>1543.1500985232101</v>
      </c>
      <c r="L57" s="6">
        <v>180.443053394695</v>
      </c>
      <c r="M57" t="s">
        <v>890</v>
      </c>
      <c r="Y57" s="2"/>
      <c r="Z57" s="3"/>
      <c r="AB57" s="1"/>
      <c r="AC57" s="2"/>
      <c r="AD57" s="4"/>
      <c r="AE57" s="4"/>
      <c r="AI57" s="4"/>
      <c r="AK57" s="5"/>
      <c r="AL57" s="5"/>
      <c r="AM57" s="4"/>
      <c r="AN57" s="4"/>
      <c r="AO57" s="4"/>
      <c r="AP57" s="4"/>
    </row>
    <row r="58" spans="1:47" x14ac:dyDescent="0.25">
      <c r="A58" t="s">
        <v>364</v>
      </c>
      <c r="B58" t="s">
        <v>365</v>
      </c>
      <c r="C58" t="s">
        <v>1074</v>
      </c>
      <c r="D58" s="1">
        <v>45405</v>
      </c>
      <c r="E58">
        <v>4</v>
      </c>
      <c r="F58">
        <v>23</v>
      </c>
      <c r="G58">
        <v>2024</v>
      </c>
      <c r="H58">
        <v>114</v>
      </c>
      <c r="I58">
        <v>-77.452742490000006</v>
      </c>
      <c r="J58" s="4">
        <v>169.275065933333</v>
      </c>
      <c r="K58" s="6">
        <v>4199.5531153193297</v>
      </c>
      <c r="L58" s="6">
        <v>482.48848434764898</v>
      </c>
      <c r="M58" t="s">
        <v>890</v>
      </c>
      <c r="Y58" s="2"/>
      <c r="Z58" s="3"/>
      <c r="AB58" s="1"/>
      <c r="AC58" s="2"/>
      <c r="AD58" s="4"/>
      <c r="AE58" s="4"/>
      <c r="AF58" s="4"/>
      <c r="AH58" s="4"/>
      <c r="AI58" s="4"/>
      <c r="AJ58" s="4"/>
      <c r="AK58" s="5"/>
      <c r="AL58" s="5"/>
      <c r="AM58" s="4"/>
      <c r="AN58" s="4"/>
      <c r="AO58" s="4"/>
      <c r="AP58" s="4"/>
    </row>
    <row r="59" spans="1:47" x14ac:dyDescent="0.25">
      <c r="A59" t="s">
        <v>364</v>
      </c>
      <c r="B59" t="s">
        <v>365</v>
      </c>
      <c r="C59" t="s">
        <v>1074</v>
      </c>
      <c r="D59" s="1">
        <v>45414</v>
      </c>
      <c r="E59">
        <v>5</v>
      </c>
      <c r="F59">
        <v>2</v>
      </c>
      <c r="G59">
        <v>2024</v>
      </c>
      <c r="H59">
        <v>123</v>
      </c>
      <c r="I59">
        <v>-77.452118630000001</v>
      </c>
      <c r="J59">
        <v>169.2749058</v>
      </c>
      <c r="K59" s="6">
        <v>5185.8122585082901</v>
      </c>
      <c r="L59" s="6">
        <v>604.44586722411395</v>
      </c>
      <c r="M59" t="s">
        <v>890</v>
      </c>
    </row>
    <row r="60" spans="1:47" x14ac:dyDescent="0.25">
      <c r="A60" t="s">
        <v>364</v>
      </c>
      <c r="B60" t="s">
        <v>365</v>
      </c>
      <c r="C60" t="s">
        <v>1074</v>
      </c>
      <c r="D60" s="1">
        <v>45429</v>
      </c>
      <c r="E60">
        <v>5</v>
      </c>
      <c r="F60">
        <v>17</v>
      </c>
      <c r="G60">
        <v>2024</v>
      </c>
      <c r="H60">
        <v>138</v>
      </c>
      <c r="I60">
        <v>-77.452081969999995</v>
      </c>
      <c r="J60">
        <v>169.2775054</v>
      </c>
      <c r="K60" s="6">
        <v>3810.9550936026098</v>
      </c>
      <c r="L60" s="6">
        <v>443.96939889530501</v>
      </c>
      <c r="M60" t="s">
        <v>890</v>
      </c>
      <c r="P60" s="1"/>
      <c r="R60" s="2"/>
      <c r="S60" s="4"/>
      <c r="T60" s="4"/>
      <c r="U60" s="4"/>
      <c r="V60" s="4"/>
      <c r="W60" s="4"/>
      <c r="X60" s="4"/>
      <c r="Z60" s="4"/>
      <c r="AA60" s="5"/>
      <c r="AB60" s="4"/>
      <c r="AC60" s="4"/>
      <c r="AD60" s="4"/>
      <c r="AE60" s="4"/>
    </row>
    <row r="61" spans="1:47" x14ac:dyDescent="0.25">
      <c r="A61" t="s">
        <v>364</v>
      </c>
      <c r="B61" t="s">
        <v>365</v>
      </c>
      <c r="C61" t="s">
        <v>1074</v>
      </c>
      <c r="D61" s="1">
        <v>45444</v>
      </c>
      <c r="E61">
        <v>6</v>
      </c>
      <c r="F61">
        <v>1</v>
      </c>
      <c r="G61">
        <v>2024</v>
      </c>
      <c r="H61">
        <v>153</v>
      </c>
      <c r="I61">
        <v>-77.451571819999998</v>
      </c>
      <c r="J61" s="4">
        <v>169.27866761666601</v>
      </c>
      <c r="K61" s="6">
        <v>3045.3768819075899</v>
      </c>
      <c r="L61" s="6">
        <v>346.09534932841399</v>
      </c>
      <c r="M61" t="s">
        <v>890</v>
      </c>
      <c r="P61" s="1"/>
      <c r="R61" s="2"/>
      <c r="S61" s="4"/>
      <c r="T61" s="4"/>
      <c r="U61" s="4"/>
      <c r="V61" s="4"/>
      <c r="W61" s="4"/>
      <c r="X61" s="4"/>
      <c r="Z61" s="4"/>
      <c r="AA61" s="5"/>
      <c r="AB61" s="4"/>
      <c r="AC61" s="4"/>
      <c r="AD61" s="4"/>
      <c r="AE61" s="4"/>
    </row>
    <row r="62" spans="1:47" x14ac:dyDescent="0.25">
      <c r="A62" t="s">
        <v>364</v>
      </c>
      <c r="B62" t="s">
        <v>365</v>
      </c>
      <c r="C62" t="s">
        <v>1074</v>
      </c>
      <c r="D62" s="1">
        <v>45450</v>
      </c>
      <c r="E62">
        <v>6</v>
      </c>
      <c r="F62">
        <v>7</v>
      </c>
      <c r="G62">
        <v>2024</v>
      </c>
      <c r="H62">
        <v>159</v>
      </c>
      <c r="I62">
        <v>-77.452742490000006</v>
      </c>
      <c r="J62" s="4">
        <v>169.275065933333</v>
      </c>
      <c r="K62" s="6">
        <v>3294.0582213811199</v>
      </c>
      <c r="L62" s="6">
        <v>343.31443778614403</v>
      </c>
      <c r="M62" t="s">
        <v>890</v>
      </c>
      <c r="P62" s="1"/>
      <c r="R62" s="2"/>
      <c r="S62" s="4"/>
      <c r="T62" s="4"/>
      <c r="U62" s="4"/>
      <c r="V62" s="4"/>
      <c r="W62" s="4"/>
      <c r="X62" s="4"/>
      <c r="Z62" s="4"/>
      <c r="AA62" s="5"/>
      <c r="AB62" s="4"/>
      <c r="AC62" s="4"/>
      <c r="AD62" s="4"/>
      <c r="AE62" s="4"/>
    </row>
    <row r="63" spans="1:47" x14ac:dyDescent="0.25">
      <c r="A63" t="s">
        <v>364</v>
      </c>
      <c r="B63" t="s">
        <v>365</v>
      </c>
      <c r="C63" t="s">
        <v>1074</v>
      </c>
      <c r="D63" s="1">
        <v>45463</v>
      </c>
      <c r="E63">
        <v>6</v>
      </c>
      <c r="F63">
        <v>20</v>
      </c>
      <c r="G63">
        <v>2024</v>
      </c>
      <c r="H63">
        <v>172</v>
      </c>
      <c r="I63">
        <v>-77.450947900000003</v>
      </c>
      <c r="J63">
        <v>169.28141289999999</v>
      </c>
      <c r="K63" s="6">
        <v>3237.4766955008499</v>
      </c>
      <c r="L63" s="6">
        <v>367.54558255457198</v>
      </c>
      <c r="M63" t="s">
        <v>890</v>
      </c>
      <c r="P63" s="1"/>
      <c r="R63" s="2"/>
      <c r="T63" s="4"/>
      <c r="U63" s="4"/>
      <c r="V63" s="4"/>
      <c r="W63" s="4"/>
      <c r="X63" s="4"/>
      <c r="Z63" s="4"/>
      <c r="AA63" s="5"/>
      <c r="AB63" s="4"/>
      <c r="AC63" s="4"/>
      <c r="AD63" s="4"/>
    </row>
    <row r="64" spans="1:47" x14ac:dyDescent="0.25">
      <c r="A64" t="s">
        <v>364</v>
      </c>
      <c r="B64" t="s">
        <v>365</v>
      </c>
      <c r="C64" t="s">
        <v>1074</v>
      </c>
      <c r="D64" s="1">
        <v>45467</v>
      </c>
      <c r="E64">
        <v>6</v>
      </c>
      <c r="F64">
        <v>24</v>
      </c>
      <c r="G64">
        <v>2024</v>
      </c>
      <c r="H64">
        <v>176</v>
      </c>
      <c r="I64">
        <v>-77.451231899999996</v>
      </c>
      <c r="J64">
        <v>169.2811639</v>
      </c>
      <c r="K64" s="6">
        <v>1719.6904865003401</v>
      </c>
      <c r="L64" s="6">
        <v>194.365613641788</v>
      </c>
      <c r="M64" t="s">
        <v>890</v>
      </c>
      <c r="P64" s="1"/>
      <c r="R64" s="2"/>
      <c r="S64" s="4"/>
      <c r="T64" s="4"/>
      <c r="U64" s="4"/>
      <c r="V64" s="4"/>
      <c r="W64" s="4"/>
      <c r="X64" s="4"/>
      <c r="Z64" s="4"/>
      <c r="AA64" s="5"/>
      <c r="AB64" s="4"/>
      <c r="AC64" s="4"/>
      <c r="AD64" s="4"/>
      <c r="AE64" s="4"/>
    </row>
    <row r="65" spans="1:47" s="7" customFormat="1" x14ac:dyDescent="0.25">
      <c r="A65" t="s">
        <v>364</v>
      </c>
      <c r="B65" t="s">
        <v>365</v>
      </c>
      <c r="C65" t="s">
        <v>1074</v>
      </c>
      <c r="D65" s="1">
        <v>45482</v>
      </c>
      <c r="E65">
        <v>7</v>
      </c>
      <c r="F65">
        <v>9</v>
      </c>
      <c r="G65">
        <v>2024</v>
      </c>
      <c r="H65">
        <v>191</v>
      </c>
      <c r="I65">
        <v>-77.452742490000006</v>
      </c>
      <c r="J65" s="4">
        <v>169.275065933333</v>
      </c>
      <c r="K65" s="6">
        <v>1796.0709487061899</v>
      </c>
      <c r="L65" s="6">
        <v>196.97292960843899</v>
      </c>
      <c r="M65" t="s">
        <v>890</v>
      </c>
      <c r="N65"/>
      <c r="O65"/>
      <c r="P65" s="1"/>
      <c r="Q65"/>
      <c r="R65" s="2"/>
      <c r="S65" s="4"/>
      <c r="T65" s="4"/>
      <c r="U65" s="4"/>
      <c r="V65"/>
      <c r="W65" s="4"/>
      <c r="X65"/>
      <c r="Y65"/>
      <c r="Z65" s="4"/>
      <c r="AA65" s="5"/>
      <c r="AB65" s="4"/>
      <c r="AC65" s="4"/>
      <c r="AD65" s="4"/>
      <c r="AE65" s="4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x14ac:dyDescent="0.25">
      <c r="A66" t="s">
        <v>364</v>
      </c>
      <c r="B66" t="s">
        <v>365</v>
      </c>
      <c r="C66" t="s">
        <v>1074</v>
      </c>
      <c r="D66" s="1">
        <v>45489</v>
      </c>
      <c r="E66">
        <v>7</v>
      </c>
      <c r="F66">
        <v>16</v>
      </c>
      <c r="G66">
        <v>2024</v>
      </c>
      <c r="H66">
        <v>198</v>
      </c>
      <c r="I66">
        <v>-77.45059827</v>
      </c>
      <c r="J66">
        <v>169.283064</v>
      </c>
      <c r="K66" s="6">
        <v>1959.2380388644201</v>
      </c>
      <c r="L66" s="6">
        <v>223.18009338451699</v>
      </c>
      <c r="M66" t="s">
        <v>890</v>
      </c>
      <c r="P66" s="1"/>
      <c r="R66" s="2"/>
      <c r="S66" s="4"/>
      <c r="T66" s="4"/>
      <c r="U66" s="4"/>
      <c r="W66" s="4"/>
      <c r="Z66" s="4"/>
      <c r="AA66" s="5"/>
      <c r="AB66" s="4"/>
      <c r="AC66" s="4"/>
      <c r="AD66" s="4"/>
      <c r="AE66" s="4"/>
    </row>
    <row r="67" spans="1:47" x14ac:dyDescent="0.25">
      <c r="A67" t="s">
        <v>364</v>
      </c>
      <c r="B67" t="s">
        <v>365</v>
      </c>
      <c r="C67" t="s">
        <v>1074</v>
      </c>
      <c r="D67" s="1">
        <v>45510</v>
      </c>
      <c r="E67">
        <v>8</v>
      </c>
      <c r="F67">
        <v>6</v>
      </c>
      <c r="G67">
        <v>2024</v>
      </c>
      <c r="H67">
        <v>219</v>
      </c>
      <c r="I67">
        <v>-77.452742490000006</v>
      </c>
      <c r="J67" s="4">
        <v>169.275065933333</v>
      </c>
      <c r="K67" s="6">
        <v>2267.9118043111498</v>
      </c>
      <c r="L67" s="6">
        <v>262.33269083916298</v>
      </c>
      <c r="M67" t="s">
        <v>890</v>
      </c>
      <c r="P67" s="1"/>
      <c r="R67" s="2"/>
      <c r="S67" s="4"/>
      <c r="T67" s="4"/>
      <c r="U67" s="4"/>
      <c r="V67" s="4"/>
      <c r="W67" s="4"/>
      <c r="X67" s="4"/>
      <c r="Z67" s="4"/>
      <c r="AA67" s="5"/>
      <c r="AB67" s="4"/>
      <c r="AC67" s="4"/>
      <c r="AD67" s="4"/>
      <c r="AE67" s="4"/>
    </row>
    <row r="68" spans="1:47" x14ac:dyDescent="0.25">
      <c r="A68" t="s">
        <v>364</v>
      </c>
      <c r="B68" t="s">
        <v>365</v>
      </c>
      <c r="C68" t="s">
        <v>1074</v>
      </c>
      <c r="D68" s="1">
        <v>45513</v>
      </c>
      <c r="E68">
        <v>8</v>
      </c>
      <c r="F68">
        <v>9</v>
      </c>
      <c r="G68">
        <v>2024</v>
      </c>
      <c r="H68">
        <v>222</v>
      </c>
      <c r="I68">
        <v>-77.452742490000006</v>
      </c>
      <c r="J68" s="4">
        <v>169.275065933333</v>
      </c>
      <c r="K68" s="6">
        <v>1574.11120997014</v>
      </c>
      <c r="L68" s="6">
        <v>163.651512019352</v>
      </c>
      <c r="M68" t="s">
        <v>890</v>
      </c>
      <c r="P68" s="1"/>
      <c r="R68" s="2"/>
      <c r="T68" s="4"/>
      <c r="U68" s="4"/>
      <c r="V68" s="4"/>
      <c r="X68" s="4"/>
      <c r="Z68" s="4"/>
      <c r="AA68" s="5"/>
      <c r="AB68" s="4"/>
      <c r="AC68" s="4"/>
      <c r="AD68" s="4"/>
      <c r="AE68" s="4"/>
    </row>
    <row r="69" spans="1:47" x14ac:dyDescent="0.25">
      <c r="A69" t="s">
        <v>451</v>
      </c>
      <c r="B69" t="s">
        <v>452</v>
      </c>
      <c r="C69" t="s">
        <v>1074</v>
      </c>
      <c r="D69" s="1">
        <v>45771</v>
      </c>
      <c r="E69">
        <v>4</v>
      </c>
      <c r="F69">
        <v>24</v>
      </c>
      <c r="G69">
        <v>2025</v>
      </c>
      <c r="H69">
        <v>114</v>
      </c>
      <c r="I69">
        <v>-76.177379999999999</v>
      </c>
      <c r="J69">
        <v>168.394475</v>
      </c>
      <c r="K69" s="6">
        <v>3965.1596362438199</v>
      </c>
      <c r="L69" s="6">
        <v>457.06102312336998</v>
      </c>
      <c r="M69" t="s">
        <v>890</v>
      </c>
      <c r="Y69" s="2"/>
      <c r="Z69" s="3"/>
      <c r="AB69" s="1"/>
      <c r="AC69" s="2"/>
      <c r="AD69" s="4"/>
      <c r="AE69" s="4"/>
      <c r="AF69" s="4"/>
      <c r="AH69" s="4"/>
      <c r="AJ69" s="4"/>
      <c r="AK69" s="5"/>
      <c r="AM69" s="4"/>
      <c r="AN69" s="4"/>
      <c r="AO69" s="4"/>
      <c r="AP69" s="4"/>
    </row>
    <row r="70" spans="1:47" x14ac:dyDescent="0.25">
      <c r="A70" t="s">
        <v>451</v>
      </c>
      <c r="B70" t="s">
        <v>452</v>
      </c>
      <c r="C70" t="s">
        <v>1074</v>
      </c>
      <c r="D70" s="1">
        <v>45799</v>
      </c>
      <c r="E70">
        <v>5</v>
      </c>
      <c r="F70">
        <v>22</v>
      </c>
      <c r="G70">
        <v>2025</v>
      </c>
      <c r="H70">
        <v>142</v>
      </c>
      <c r="I70">
        <v>-76.177379999999999</v>
      </c>
      <c r="J70">
        <v>168.394475</v>
      </c>
      <c r="K70" s="6">
        <v>7647.7212372112799</v>
      </c>
      <c r="L70" s="6">
        <v>876.19835676202104</v>
      </c>
      <c r="M70" t="s">
        <v>890</v>
      </c>
      <c r="Y70" s="2"/>
      <c r="Z70" s="3"/>
      <c r="AB70" s="1"/>
      <c r="AC70" s="2"/>
      <c r="AD70" s="4"/>
      <c r="AE70" s="4"/>
      <c r="AF70" s="4"/>
      <c r="AH70" s="4"/>
      <c r="AJ70" s="4"/>
      <c r="AK70" s="5"/>
      <c r="AM70" s="4"/>
      <c r="AN70" s="4"/>
      <c r="AO70" s="4"/>
      <c r="AP70" s="4"/>
    </row>
    <row r="71" spans="1:47" x14ac:dyDescent="0.25">
      <c r="A71" t="s">
        <v>451</v>
      </c>
      <c r="B71" t="s">
        <v>452</v>
      </c>
      <c r="C71" t="s">
        <v>1074</v>
      </c>
      <c r="D71" s="1">
        <v>45822</v>
      </c>
      <c r="E71">
        <v>6</v>
      </c>
      <c r="F71">
        <v>14</v>
      </c>
      <c r="G71">
        <v>2025</v>
      </c>
      <c r="H71">
        <v>165</v>
      </c>
      <c r="I71">
        <v>-76.177379999999999</v>
      </c>
      <c r="J71">
        <v>168.394475</v>
      </c>
      <c r="K71" s="6">
        <v>7328.1058100090204</v>
      </c>
      <c r="L71" s="6">
        <v>830.05839044497202</v>
      </c>
      <c r="M71" t="s">
        <v>890</v>
      </c>
      <c r="Y71" s="2"/>
      <c r="Z71" s="3"/>
      <c r="AB71" s="1"/>
      <c r="AC71" s="2"/>
      <c r="AD71" s="4"/>
      <c r="AE71" s="4"/>
      <c r="AF71" s="4"/>
      <c r="AH71" s="4"/>
      <c r="AI71" s="4"/>
      <c r="AJ71" s="4"/>
      <c r="AK71" s="5"/>
      <c r="AN71" s="4"/>
      <c r="AO71" s="4"/>
      <c r="AP71" s="4"/>
    </row>
    <row r="72" spans="1:47" x14ac:dyDescent="0.25">
      <c r="A72" t="s">
        <v>451</v>
      </c>
      <c r="B72" t="s">
        <v>452</v>
      </c>
      <c r="C72" t="s">
        <v>1074</v>
      </c>
      <c r="D72" s="1">
        <v>45838</v>
      </c>
      <c r="E72">
        <v>6</v>
      </c>
      <c r="F72">
        <v>30</v>
      </c>
      <c r="G72">
        <v>2025</v>
      </c>
      <c r="H72">
        <v>181</v>
      </c>
      <c r="I72">
        <v>-76.177379999999999</v>
      </c>
      <c r="J72">
        <v>168.394475</v>
      </c>
      <c r="K72" s="6">
        <v>3998.0101875238402</v>
      </c>
      <c r="L72" s="6">
        <v>471.17662845861599</v>
      </c>
      <c r="M72" t="s">
        <v>890</v>
      </c>
      <c r="Y72" s="2"/>
      <c r="Z72" s="3"/>
      <c r="AB72" s="1"/>
      <c r="AC72" s="2"/>
      <c r="AD72" s="4"/>
      <c r="AE72" s="4"/>
      <c r="AF72" s="4"/>
      <c r="AH72" s="4"/>
      <c r="AI72" s="4"/>
      <c r="AJ72" s="4"/>
      <c r="AK72" s="5"/>
      <c r="AM72" s="4"/>
      <c r="AN72" s="4"/>
      <c r="AO72" s="4"/>
      <c r="AP72" s="4"/>
    </row>
    <row r="73" spans="1:47" x14ac:dyDescent="0.25">
      <c r="A73" t="s">
        <v>451</v>
      </c>
      <c r="B73" t="s">
        <v>452</v>
      </c>
      <c r="C73" t="s">
        <v>1074</v>
      </c>
      <c r="D73" s="1">
        <v>45860</v>
      </c>
      <c r="E73">
        <v>7</v>
      </c>
      <c r="F73">
        <v>22</v>
      </c>
      <c r="G73">
        <v>2025</v>
      </c>
      <c r="H73">
        <v>203</v>
      </c>
      <c r="I73">
        <v>-76.177379999999999</v>
      </c>
      <c r="J73">
        <v>168.394475</v>
      </c>
      <c r="K73" s="6">
        <v>4593.9585123347897</v>
      </c>
      <c r="L73" s="6">
        <v>550.01906649850605</v>
      </c>
      <c r="M73" t="s">
        <v>890</v>
      </c>
      <c r="Y73" s="2"/>
      <c r="Z73" s="3"/>
      <c r="AB73" s="1"/>
      <c r="AC73" s="2"/>
      <c r="AD73" s="4"/>
      <c r="AE73" s="4"/>
      <c r="AF73" s="4"/>
      <c r="AH73" s="4"/>
      <c r="AI73" s="4"/>
      <c r="AJ73" s="4"/>
      <c r="AK73" s="5"/>
      <c r="AM73" s="4"/>
      <c r="AN73" s="4"/>
      <c r="AO73" s="4"/>
      <c r="AP73" s="4"/>
    </row>
    <row r="74" spans="1:47" x14ac:dyDescent="0.25">
      <c r="A74" t="s">
        <v>451</v>
      </c>
      <c r="B74" t="s">
        <v>452</v>
      </c>
      <c r="C74" t="s">
        <v>1074</v>
      </c>
      <c r="D74" s="1">
        <v>45875</v>
      </c>
      <c r="E74">
        <v>8</v>
      </c>
      <c r="F74">
        <v>6</v>
      </c>
      <c r="G74">
        <v>2025</v>
      </c>
      <c r="H74">
        <v>218</v>
      </c>
      <c r="I74">
        <v>-76.177379999999999</v>
      </c>
      <c r="J74">
        <v>168.394475</v>
      </c>
      <c r="K74" s="6">
        <v>4363.3147492279704</v>
      </c>
      <c r="L74" s="6">
        <v>507.39987446001999</v>
      </c>
      <c r="M74" t="s">
        <v>890</v>
      </c>
      <c r="Y74" s="2"/>
      <c r="Z74" s="3"/>
      <c r="AB74" s="1"/>
      <c r="AC74" s="2"/>
      <c r="AD74" s="4"/>
      <c r="AE74" s="4"/>
      <c r="AF74" s="4"/>
      <c r="AH74" s="4"/>
      <c r="AI74" s="4"/>
      <c r="AJ74" s="4"/>
      <c r="AK74" s="5"/>
      <c r="AM74" s="4"/>
      <c r="AN74" s="4"/>
      <c r="AP74" s="4"/>
    </row>
    <row r="75" spans="1:47" x14ac:dyDescent="0.25">
      <c r="A75" t="s">
        <v>451</v>
      </c>
      <c r="B75" t="s">
        <v>452</v>
      </c>
      <c r="C75" t="s">
        <v>1074</v>
      </c>
      <c r="D75" s="1">
        <v>45893</v>
      </c>
      <c r="E75">
        <v>8</v>
      </c>
      <c r="F75">
        <v>24</v>
      </c>
      <c r="G75">
        <v>2025</v>
      </c>
      <c r="H75">
        <v>236</v>
      </c>
      <c r="I75">
        <v>-76.177379999999999</v>
      </c>
      <c r="J75">
        <v>168.394475</v>
      </c>
      <c r="K75" s="6"/>
      <c r="L75" s="6"/>
      <c r="M75" t="s">
        <v>890</v>
      </c>
      <c r="N75" t="s">
        <v>1081</v>
      </c>
      <c r="Y75" s="2"/>
      <c r="Z75" s="3"/>
      <c r="AB75" s="1"/>
      <c r="AC75" s="2"/>
      <c r="AD75" s="4"/>
      <c r="AE75" s="4"/>
      <c r="AF75" s="4"/>
      <c r="AH75" s="4"/>
      <c r="AJ75" s="4"/>
      <c r="AK75" s="5"/>
      <c r="AM75" s="4"/>
      <c r="AN75" s="4"/>
      <c r="AO75" s="4"/>
      <c r="AP75" s="4"/>
    </row>
    <row r="76" spans="1:47" x14ac:dyDescent="0.25">
      <c r="A76" t="s">
        <v>451</v>
      </c>
      <c r="B76" t="s">
        <v>452</v>
      </c>
      <c r="C76" t="s">
        <v>1074</v>
      </c>
      <c r="D76" s="1">
        <v>45405</v>
      </c>
      <c r="E76">
        <v>4</v>
      </c>
      <c r="F76">
        <v>23</v>
      </c>
      <c r="G76">
        <v>2024</v>
      </c>
      <c r="H76">
        <v>114</v>
      </c>
      <c r="I76">
        <v>-76.177109340000001</v>
      </c>
      <c r="J76">
        <v>168.3951361</v>
      </c>
      <c r="K76" s="6">
        <v>749.76901485221595</v>
      </c>
      <c r="L76" s="6">
        <v>87.714691351420996</v>
      </c>
      <c r="M76" t="s">
        <v>890</v>
      </c>
    </row>
    <row r="77" spans="1:47" x14ac:dyDescent="0.25">
      <c r="A77" t="s">
        <v>451</v>
      </c>
      <c r="B77" t="s">
        <v>452</v>
      </c>
      <c r="C77" t="s">
        <v>1074</v>
      </c>
      <c r="D77" s="1">
        <v>45411</v>
      </c>
      <c r="E77">
        <v>4</v>
      </c>
      <c r="F77">
        <v>29</v>
      </c>
      <c r="G77">
        <v>2024</v>
      </c>
      <c r="H77">
        <v>120</v>
      </c>
      <c r="I77">
        <v>-76.177269089999996</v>
      </c>
      <c r="J77">
        <v>168.3912272</v>
      </c>
      <c r="K77" s="6">
        <v>5890.3041012563999</v>
      </c>
      <c r="L77" s="6">
        <v>658.60133209721403</v>
      </c>
      <c r="M77" t="s">
        <v>890</v>
      </c>
    </row>
    <row r="78" spans="1:47" x14ac:dyDescent="0.25">
      <c r="A78" t="s">
        <v>451</v>
      </c>
      <c r="B78" t="s">
        <v>452</v>
      </c>
      <c r="C78" t="s">
        <v>1074</v>
      </c>
      <c r="D78" s="1">
        <v>45414</v>
      </c>
      <c r="E78">
        <v>5</v>
      </c>
      <c r="F78">
        <v>2</v>
      </c>
      <c r="G78">
        <v>2024</v>
      </c>
      <c r="H78">
        <v>123</v>
      </c>
      <c r="I78">
        <v>-76.177269089999996</v>
      </c>
      <c r="J78">
        <v>168.3912272</v>
      </c>
      <c r="K78" s="6">
        <v>14988.7591448315</v>
      </c>
      <c r="L78" s="6">
        <v>1770.3214415316399</v>
      </c>
      <c r="M78" t="s">
        <v>890</v>
      </c>
    </row>
    <row r="79" spans="1:47" x14ac:dyDescent="0.25">
      <c r="A79" t="s">
        <v>451</v>
      </c>
      <c r="B79" t="s">
        <v>452</v>
      </c>
      <c r="C79" t="s">
        <v>1074</v>
      </c>
      <c r="D79" s="1">
        <v>45421</v>
      </c>
      <c r="E79">
        <v>5</v>
      </c>
      <c r="F79">
        <v>9</v>
      </c>
      <c r="G79">
        <v>2024</v>
      </c>
      <c r="H79">
        <v>130</v>
      </c>
      <c r="I79">
        <v>-76.177339900000007</v>
      </c>
      <c r="J79">
        <v>168.39055283636301</v>
      </c>
      <c r="K79" s="6">
        <v>7635.8438715213997</v>
      </c>
      <c r="L79" s="6">
        <v>899.52158255817005</v>
      </c>
      <c r="M79" t="s">
        <v>890</v>
      </c>
    </row>
    <row r="80" spans="1:47" x14ac:dyDescent="0.25">
      <c r="A80" t="s">
        <v>451</v>
      </c>
      <c r="B80" t="s">
        <v>452</v>
      </c>
      <c r="C80" t="s">
        <v>1074</v>
      </c>
      <c r="D80" s="1">
        <v>45429</v>
      </c>
      <c r="E80">
        <v>5</v>
      </c>
      <c r="F80">
        <v>17</v>
      </c>
      <c r="G80">
        <v>2024</v>
      </c>
      <c r="H80">
        <v>138</v>
      </c>
      <c r="I80">
        <v>-76.177269089999996</v>
      </c>
      <c r="J80">
        <v>168.3912272</v>
      </c>
      <c r="K80" s="6">
        <v>6808.6982037543203</v>
      </c>
      <c r="L80" s="6">
        <v>778.04766848198506</v>
      </c>
      <c r="M80" t="s">
        <v>890</v>
      </c>
    </row>
    <row r="81" spans="1:47" x14ac:dyDescent="0.25">
      <c r="A81" t="s">
        <v>451</v>
      </c>
      <c r="B81" t="s">
        <v>452</v>
      </c>
      <c r="C81" t="s">
        <v>1074</v>
      </c>
      <c r="D81" s="1">
        <v>45436</v>
      </c>
      <c r="E81">
        <v>5</v>
      </c>
      <c r="F81">
        <v>24</v>
      </c>
      <c r="G81">
        <v>2024</v>
      </c>
      <c r="H81">
        <v>145</v>
      </c>
      <c r="I81">
        <v>-76.177901989999995</v>
      </c>
      <c r="J81">
        <v>168.39030080000001</v>
      </c>
      <c r="K81" s="6">
        <v>8641.2272690371192</v>
      </c>
      <c r="L81" s="6">
        <v>981.73728850358805</v>
      </c>
      <c r="M81" t="s">
        <v>890</v>
      </c>
    </row>
    <row r="82" spans="1:47" x14ac:dyDescent="0.25">
      <c r="A82" t="s">
        <v>451</v>
      </c>
      <c r="B82" t="s">
        <v>452</v>
      </c>
      <c r="C82" t="s">
        <v>1074</v>
      </c>
      <c r="D82" s="1">
        <v>45450</v>
      </c>
      <c r="E82">
        <v>6</v>
      </c>
      <c r="F82">
        <v>7</v>
      </c>
      <c r="G82">
        <v>2024</v>
      </c>
      <c r="H82">
        <v>159</v>
      </c>
      <c r="I82">
        <v>-76.177457070000003</v>
      </c>
      <c r="J82">
        <v>168.3915643</v>
      </c>
      <c r="K82" s="6">
        <v>6247.1081380949099</v>
      </c>
      <c r="L82" s="6">
        <v>736.35055743390103</v>
      </c>
      <c r="M82" t="s">
        <v>890</v>
      </c>
    </row>
    <row r="83" spans="1:47" x14ac:dyDescent="0.25">
      <c r="A83" t="s">
        <v>451</v>
      </c>
      <c r="B83" t="s">
        <v>452</v>
      </c>
      <c r="C83" t="s">
        <v>1074</v>
      </c>
      <c r="D83" s="1">
        <v>45467</v>
      </c>
      <c r="E83">
        <v>6</v>
      </c>
      <c r="F83">
        <v>24</v>
      </c>
      <c r="G83">
        <v>2024</v>
      </c>
      <c r="H83">
        <v>176</v>
      </c>
      <c r="I83">
        <v>-76.177269089999996</v>
      </c>
      <c r="J83">
        <v>168.3912272</v>
      </c>
      <c r="K83" s="6">
        <v>5029.9291930947802</v>
      </c>
      <c r="L83" s="6">
        <v>581.62305574287996</v>
      </c>
      <c r="M83" t="s">
        <v>890</v>
      </c>
    </row>
    <row r="84" spans="1:47" x14ac:dyDescent="0.25">
      <c r="A84" t="s">
        <v>451</v>
      </c>
      <c r="B84" t="s">
        <v>452</v>
      </c>
      <c r="C84" t="s">
        <v>1074</v>
      </c>
      <c r="D84" s="1">
        <v>45513</v>
      </c>
      <c r="E84">
        <v>8</v>
      </c>
      <c r="F84">
        <v>9</v>
      </c>
      <c r="G84">
        <v>2024</v>
      </c>
      <c r="H84">
        <v>222</v>
      </c>
      <c r="I84">
        <v>-76.176363300000006</v>
      </c>
      <c r="J84">
        <v>168.39021854285701</v>
      </c>
      <c r="K84" s="6">
        <v>5089.5631022252101</v>
      </c>
      <c r="L84" s="6">
        <v>564.05032868390799</v>
      </c>
      <c r="M84" t="s">
        <v>890</v>
      </c>
    </row>
    <row r="85" spans="1:47" x14ac:dyDescent="0.25">
      <c r="A85" t="s">
        <v>538</v>
      </c>
      <c r="B85" t="s">
        <v>539</v>
      </c>
      <c r="C85" t="s">
        <v>1074</v>
      </c>
      <c r="D85" s="1">
        <v>45772</v>
      </c>
      <c r="E85">
        <v>4</v>
      </c>
      <c r="F85">
        <v>25</v>
      </c>
      <c r="G85">
        <v>2025</v>
      </c>
      <c r="H85">
        <v>115</v>
      </c>
      <c r="I85">
        <v>-71.983065999999994</v>
      </c>
      <c r="J85">
        <v>170.60781700000001</v>
      </c>
      <c r="K85" s="6">
        <v>9238.5687318547007</v>
      </c>
      <c r="L85" s="6">
        <v>943.22351777028302</v>
      </c>
      <c r="M85" t="s">
        <v>890</v>
      </c>
      <c r="AA85" s="2"/>
      <c r="AB85" s="3"/>
      <c r="AD85" s="1"/>
      <c r="AE85" s="2"/>
      <c r="AN85" s="6"/>
      <c r="AU85" s="6"/>
    </row>
    <row r="86" spans="1:47" x14ac:dyDescent="0.25">
      <c r="A86" t="s">
        <v>538</v>
      </c>
      <c r="B86" t="s">
        <v>539</v>
      </c>
      <c r="C86" t="s">
        <v>1074</v>
      </c>
      <c r="D86" s="1">
        <v>45799</v>
      </c>
      <c r="E86">
        <v>5</v>
      </c>
      <c r="F86">
        <v>22</v>
      </c>
      <c r="G86">
        <v>2025</v>
      </c>
      <c r="H86">
        <v>142</v>
      </c>
      <c r="I86">
        <v>-71.983065999999994</v>
      </c>
      <c r="J86">
        <v>170.60781700000001</v>
      </c>
      <c r="K86" s="6">
        <v>9882.9209073638103</v>
      </c>
      <c r="L86" s="6">
        <v>1005.09318611893</v>
      </c>
      <c r="M86" t="s">
        <v>890</v>
      </c>
      <c r="AA86" s="2"/>
      <c r="AB86" s="3"/>
      <c r="AD86" s="1"/>
      <c r="AE86" s="2"/>
      <c r="AN86" s="6"/>
      <c r="AU86" s="6"/>
    </row>
    <row r="87" spans="1:47" x14ac:dyDescent="0.25">
      <c r="A87" t="s">
        <v>538</v>
      </c>
      <c r="B87" t="s">
        <v>539</v>
      </c>
      <c r="C87" t="s">
        <v>1074</v>
      </c>
      <c r="D87" s="1">
        <v>45821</v>
      </c>
      <c r="E87">
        <v>6</v>
      </c>
      <c r="F87">
        <v>13</v>
      </c>
      <c r="G87">
        <v>2025</v>
      </c>
      <c r="H87">
        <v>164</v>
      </c>
      <c r="I87">
        <v>-71.983065999999994</v>
      </c>
      <c r="J87">
        <v>170.60781700000001</v>
      </c>
      <c r="K87" s="6">
        <v>5784.6896475721496</v>
      </c>
      <c r="L87" s="6">
        <v>456.14460788112399</v>
      </c>
      <c r="M87" t="s">
        <v>890</v>
      </c>
      <c r="AA87" s="2"/>
      <c r="AB87" s="3"/>
      <c r="AD87" s="1"/>
      <c r="AE87" s="2"/>
      <c r="AN87" s="6"/>
      <c r="AU87" s="6"/>
    </row>
    <row r="88" spans="1:47" x14ac:dyDescent="0.25">
      <c r="A88" t="s">
        <v>538</v>
      </c>
      <c r="B88" t="s">
        <v>539</v>
      </c>
      <c r="C88" t="s">
        <v>1074</v>
      </c>
      <c r="D88" s="1">
        <v>45838</v>
      </c>
      <c r="E88">
        <v>6</v>
      </c>
      <c r="F88">
        <v>30</v>
      </c>
      <c r="G88">
        <v>2025</v>
      </c>
      <c r="H88">
        <v>181</v>
      </c>
      <c r="I88">
        <v>-71.983065999999994</v>
      </c>
      <c r="J88">
        <v>170.60781700000001</v>
      </c>
      <c r="K88" s="6">
        <v>8666.0771209699706</v>
      </c>
      <c r="L88" s="6">
        <v>1058.0912249845101</v>
      </c>
      <c r="M88" t="s">
        <v>890</v>
      </c>
      <c r="AA88" s="2"/>
      <c r="AB88" s="3"/>
      <c r="AD88" s="1"/>
      <c r="AE88" s="2"/>
      <c r="AN88" s="6"/>
      <c r="AU88" s="6"/>
    </row>
    <row r="89" spans="1:47" x14ac:dyDescent="0.25">
      <c r="A89" t="s">
        <v>538</v>
      </c>
      <c r="B89" t="s">
        <v>539</v>
      </c>
      <c r="C89" t="s">
        <v>1074</v>
      </c>
      <c r="D89" s="1">
        <v>45856</v>
      </c>
      <c r="E89">
        <v>7</v>
      </c>
      <c r="F89">
        <v>18</v>
      </c>
      <c r="G89">
        <v>2025</v>
      </c>
      <c r="H89">
        <v>199</v>
      </c>
      <c r="I89">
        <v>-71.983065999999994</v>
      </c>
      <c r="J89">
        <v>170.60781700000001</v>
      </c>
      <c r="K89" s="6">
        <v>5851.3125510735199</v>
      </c>
      <c r="L89" s="6">
        <v>442.00407259565702</v>
      </c>
      <c r="M89" t="s">
        <v>890</v>
      </c>
      <c r="AA89" s="2"/>
      <c r="AB89" s="3"/>
      <c r="AD89" s="1"/>
      <c r="AE89" s="2"/>
      <c r="AN89" s="6"/>
      <c r="AU89" s="6"/>
    </row>
    <row r="90" spans="1:47" x14ac:dyDescent="0.25">
      <c r="A90" t="s">
        <v>538</v>
      </c>
      <c r="B90" t="s">
        <v>539</v>
      </c>
      <c r="C90" t="s">
        <v>1074</v>
      </c>
      <c r="D90" s="1">
        <v>45875</v>
      </c>
      <c r="E90">
        <v>8</v>
      </c>
      <c r="F90">
        <v>6</v>
      </c>
      <c r="G90">
        <v>2025</v>
      </c>
      <c r="H90">
        <v>218</v>
      </c>
      <c r="I90">
        <v>-71.983065999999994</v>
      </c>
      <c r="J90">
        <v>170.60781700000001</v>
      </c>
      <c r="K90" s="6">
        <v>7238.6481429691803</v>
      </c>
      <c r="L90" s="6">
        <v>704.11100803888405</v>
      </c>
      <c r="M90" t="s">
        <v>890</v>
      </c>
      <c r="AA90" s="2"/>
      <c r="AB90" s="3"/>
      <c r="AD90" s="1"/>
      <c r="AE90" s="2"/>
      <c r="AN90" s="6"/>
      <c r="AU90" s="6"/>
    </row>
    <row r="91" spans="1:47" x14ac:dyDescent="0.25">
      <c r="A91" t="s">
        <v>538</v>
      </c>
      <c r="B91" t="s">
        <v>539</v>
      </c>
      <c r="C91" t="s">
        <v>1074</v>
      </c>
      <c r="D91" s="1">
        <v>45889</v>
      </c>
      <c r="E91">
        <v>8</v>
      </c>
      <c r="F91">
        <v>20</v>
      </c>
      <c r="G91">
        <v>2025</v>
      </c>
      <c r="H91">
        <v>232</v>
      </c>
      <c r="I91">
        <v>-71.983065999999994</v>
      </c>
      <c r="J91">
        <v>170.60781700000001</v>
      </c>
      <c r="K91" s="6">
        <v>2978.6376580369702</v>
      </c>
      <c r="L91" s="6">
        <v>303.706980683724</v>
      </c>
      <c r="M91" t="s">
        <v>890</v>
      </c>
      <c r="AA91" s="2"/>
      <c r="AB91" s="3"/>
      <c r="AD91" s="1"/>
      <c r="AE91" s="2"/>
      <c r="AN91" s="6"/>
      <c r="AU91" s="6"/>
    </row>
    <row r="92" spans="1:47" x14ac:dyDescent="0.25">
      <c r="A92" t="s">
        <v>538</v>
      </c>
      <c r="B92" t="s">
        <v>539</v>
      </c>
      <c r="C92" t="s">
        <v>1074</v>
      </c>
      <c r="D92" s="1">
        <v>45414</v>
      </c>
      <c r="E92">
        <v>5</v>
      </c>
      <c r="F92">
        <v>2</v>
      </c>
      <c r="G92">
        <v>2024</v>
      </c>
      <c r="H92">
        <v>123</v>
      </c>
      <c r="I92">
        <v>-71.983345990000004</v>
      </c>
      <c r="J92">
        <v>170.59750446428501</v>
      </c>
      <c r="K92" s="6">
        <v>12833.164074066901</v>
      </c>
      <c r="L92" s="6">
        <v>1249.34436333702</v>
      </c>
      <c r="M92" t="s">
        <v>890</v>
      </c>
    </row>
    <row r="93" spans="1:47" x14ac:dyDescent="0.25">
      <c r="A93" t="s">
        <v>538</v>
      </c>
      <c r="B93" t="s">
        <v>539</v>
      </c>
      <c r="C93" t="s">
        <v>1074</v>
      </c>
      <c r="D93" s="1">
        <v>45421</v>
      </c>
      <c r="E93">
        <v>5</v>
      </c>
      <c r="F93">
        <v>9</v>
      </c>
      <c r="G93">
        <v>2024</v>
      </c>
      <c r="H93">
        <v>130</v>
      </c>
      <c r="I93">
        <v>-71.984683369999999</v>
      </c>
      <c r="J93">
        <v>170.596798957142</v>
      </c>
      <c r="K93" s="6">
        <v>7087.1087453094196</v>
      </c>
      <c r="L93" s="6">
        <v>611.279229050906</v>
      </c>
      <c r="M93" t="s">
        <v>890</v>
      </c>
    </row>
    <row r="94" spans="1:47" x14ac:dyDescent="0.25">
      <c r="A94" t="s">
        <v>538</v>
      </c>
      <c r="B94" t="s">
        <v>539</v>
      </c>
      <c r="C94" t="s">
        <v>1074</v>
      </c>
      <c r="D94" s="1">
        <v>45429</v>
      </c>
      <c r="E94">
        <v>5</v>
      </c>
      <c r="F94">
        <v>17</v>
      </c>
      <c r="G94">
        <v>2024</v>
      </c>
      <c r="H94">
        <v>138</v>
      </c>
      <c r="I94">
        <v>-71.984524840000006</v>
      </c>
      <c r="J94">
        <v>170.59934686363599</v>
      </c>
      <c r="K94" s="6">
        <v>8535.8751254700201</v>
      </c>
      <c r="L94" s="6">
        <v>886.73582593426795</v>
      </c>
      <c r="M94" t="s">
        <v>890</v>
      </c>
    </row>
    <row r="95" spans="1:47" x14ac:dyDescent="0.25">
      <c r="A95" t="s">
        <v>538</v>
      </c>
      <c r="B95" t="s">
        <v>539</v>
      </c>
      <c r="C95" t="s">
        <v>1074</v>
      </c>
      <c r="D95" s="1">
        <v>45436</v>
      </c>
      <c r="E95">
        <v>5</v>
      </c>
      <c r="F95">
        <v>24</v>
      </c>
      <c r="G95">
        <v>2024</v>
      </c>
      <c r="H95">
        <v>145</v>
      </c>
      <c r="I95">
        <v>-71.983551930000004</v>
      </c>
      <c r="J95">
        <v>170.59823390769199</v>
      </c>
      <c r="K95" s="6">
        <v>10735.959016516599</v>
      </c>
      <c r="L95" s="6">
        <v>1071.7551773744999</v>
      </c>
      <c r="M95" t="s">
        <v>890</v>
      </c>
    </row>
    <row r="96" spans="1:47" x14ac:dyDescent="0.25">
      <c r="A96" t="s">
        <v>538</v>
      </c>
      <c r="B96" t="s">
        <v>539</v>
      </c>
      <c r="C96" t="s">
        <v>1074</v>
      </c>
      <c r="D96" s="1">
        <v>45444</v>
      </c>
      <c r="E96">
        <v>6</v>
      </c>
      <c r="F96">
        <v>1</v>
      </c>
      <c r="G96">
        <v>2024</v>
      </c>
      <c r="H96">
        <v>153</v>
      </c>
      <c r="I96">
        <v>-71.984505900000002</v>
      </c>
      <c r="J96">
        <v>170.598348063636</v>
      </c>
      <c r="K96" s="6">
        <v>8173.5750926465498</v>
      </c>
      <c r="L96" s="6">
        <v>800.12996894603305</v>
      </c>
      <c r="M96" t="s">
        <v>890</v>
      </c>
    </row>
    <row r="97" spans="1:47" x14ac:dyDescent="0.25">
      <c r="A97" t="s">
        <v>538</v>
      </c>
      <c r="B97" t="s">
        <v>539</v>
      </c>
      <c r="C97" t="s">
        <v>1074</v>
      </c>
      <c r="D97" s="1">
        <v>45450</v>
      </c>
      <c r="E97">
        <v>6</v>
      </c>
      <c r="F97">
        <v>7</v>
      </c>
      <c r="G97">
        <v>2024</v>
      </c>
      <c r="H97">
        <v>159</v>
      </c>
      <c r="I97">
        <v>-71.985153280000006</v>
      </c>
      <c r="J97">
        <v>170.59429287692299</v>
      </c>
      <c r="K97" s="6">
        <v>8044.5183008071299</v>
      </c>
      <c r="L97" s="6">
        <v>859.79835343034097</v>
      </c>
      <c r="M97" t="s">
        <v>890</v>
      </c>
    </row>
    <row r="98" spans="1:47" x14ac:dyDescent="0.25">
      <c r="A98" t="s">
        <v>538</v>
      </c>
      <c r="B98" t="s">
        <v>539</v>
      </c>
      <c r="C98" t="s">
        <v>1074</v>
      </c>
      <c r="D98" s="1">
        <v>45464</v>
      </c>
      <c r="E98">
        <v>6</v>
      </c>
      <c r="F98">
        <v>21</v>
      </c>
      <c r="G98">
        <v>2024</v>
      </c>
      <c r="H98">
        <v>173</v>
      </c>
      <c r="I98">
        <v>-71.984573019999999</v>
      </c>
      <c r="J98">
        <v>170.600429977777</v>
      </c>
      <c r="K98" s="6">
        <v>7353.3665211383504</v>
      </c>
      <c r="L98" s="6">
        <v>755.35734098740295</v>
      </c>
      <c r="M98" t="s">
        <v>890</v>
      </c>
    </row>
    <row r="99" spans="1:47" x14ac:dyDescent="0.25">
      <c r="A99" t="s">
        <v>538</v>
      </c>
      <c r="B99" t="s">
        <v>539</v>
      </c>
      <c r="C99" t="s">
        <v>1074</v>
      </c>
      <c r="D99" s="1">
        <v>45468</v>
      </c>
      <c r="E99">
        <v>6</v>
      </c>
      <c r="F99">
        <v>25</v>
      </c>
      <c r="G99">
        <v>2024</v>
      </c>
      <c r="H99">
        <v>177</v>
      </c>
      <c r="I99">
        <v>-71.984676269999994</v>
      </c>
      <c r="J99">
        <v>170.59599143333301</v>
      </c>
      <c r="K99" s="6">
        <v>4795.5326854161804</v>
      </c>
      <c r="L99" s="6">
        <v>519.235003257117</v>
      </c>
      <c r="M99" t="s">
        <v>890</v>
      </c>
    </row>
    <row r="100" spans="1:47" x14ac:dyDescent="0.25">
      <c r="A100" t="s">
        <v>538</v>
      </c>
      <c r="B100" t="s">
        <v>539</v>
      </c>
      <c r="C100" t="s">
        <v>1074</v>
      </c>
      <c r="D100" s="1">
        <v>45483</v>
      </c>
      <c r="E100">
        <v>7</v>
      </c>
      <c r="F100">
        <v>10</v>
      </c>
      <c r="G100">
        <v>2024</v>
      </c>
      <c r="H100">
        <v>192</v>
      </c>
      <c r="I100">
        <v>-71.985043390000001</v>
      </c>
      <c r="J100">
        <v>170.6026991</v>
      </c>
      <c r="K100" s="6">
        <v>5184.7743565691599</v>
      </c>
      <c r="L100" s="6">
        <v>545.81366605735695</v>
      </c>
      <c r="M100" t="s">
        <v>890</v>
      </c>
    </row>
    <row r="101" spans="1:47" x14ac:dyDescent="0.25">
      <c r="A101" t="s">
        <v>538</v>
      </c>
      <c r="B101" t="s">
        <v>539</v>
      </c>
      <c r="C101" t="s">
        <v>1074</v>
      </c>
      <c r="D101" s="1">
        <v>45489</v>
      </c>
      <c r="E101">
        <v>7</v>
      </c>
      <c r="F101">
        <v>16</v>
      </c>
      <c r="G101">
        <v>2024</v>
      </c>
      <c r="H101">
        <v>198</v>
      </c>
      <c r="I101">
        <v>-71.986823200000003</v>
      </c>
      <c r="J101">
        <v>170.59846590000001</v>
      </c>
      <c r="K101" s="6">
        <v>3712.1248370738599</v>
      </c>
      <c r="L101" s="6">
        <v>361.917494063182</v>
      </c>
      <c r="M101" t="s">
        <v>890</v>
      </c>
    </row>
    <row r="102" spans="1:47" x14ac:dyDescent="0.25">
      <c r="A102" t="s">
        <v>538</v>
      </c>
      <c r="B102" t="s">
        <v>539</v>
      </c>
      <c r="C102" t="s">
        <v>1074</v>
      </c>
      <c r="D102" s="1">
        <v>45513</v>
      </c>
      <c r="E102">
        <v>8</v>
      </c>
      <c r="F102">
        <v>9</v>
      </c>
      <c r="G102">
        <v>2024</v>
      </c>
      <c r="H102">
        <v>222</v>
      </c>
      <c r="I102">
        <v>-71.984439010000003</v>
      </c>
      <c r="J102">
        <v>170.59524640000001</v>
      </c>
      <c r="K102" s="6">
        <v>5624.6342114283198</v>
      </c>
      <c r="L102" s="6">
        <v>518.85350784791103</v>
      </c>
      <c r="M102" t="s">
        <v>890</v>
      </c>
    </row>
    <row r="103" spans="1:47" x14ac:dyDescent="0.25">
      <c r="A103" t="s">
        <v>623</v>
      </c>
      <c r="B103" t="s">
        <v>624</v>
      </c>
      <c r="C103" t="s">
        <v>1074</v>
      </c>
      <c r="D103" s="1">
        <v>45771</v>
      </c>
      <c r="E103">
        <v>4</v>
      </c>
      <c r="F103">
        <v>24</v>
      </c>
      <c r="G103">
        <v>2025</v>
      </c>
      <c r="H103">
        <v>114</v>
      </c>
      <c r="I103">
        <v>-74.645037000000002</v>
      </c>
      <c r="J103">
        <v>165.38853700000001</v>
      </c>
      <c r="K103" s="6">
        <v>10575.9133181993</v>
      </c>
      <c r="L103" s="6">
        <v>1164.36253005714</v>
      </c>
      <c r="M103" t="s">
        <v>890</v>
      </c>
      <c r="N103" s="2"/>
      <c r="AA103" s="6"/>
      <c r="AH103" s="6"/>
    </row>
    <row r="104" spans="1:47" x14ac:dyDescent="0.25">
      <c r="A104" t="s">
        <v>623</v>
      </c>
      <c r="B104" t="s">
        <v>624</v>
      </c>
      <c r="C104" t="s">
        <v>1074</v>
      </c>
      <c r="D104" s="1">
        <v>45800</v>
      </c>
      <c r="E104">
        <v>5</v>
      </c>
      <c r="F104">
        <v>23</v>
      </c>
      <c r="G104">
        <v>2025</v>
      </c>
      <c r="H104">
        <v>143</v>
      </c>
      <c r="I104">
        <v>-74.645037000000002</v>
      </c>
      <c r="J104">
        <v>165.38853700000001</v>
      </c>
      <c r="K104" s="6">
        <v>23282.272546173601</v>
      </c>
      <c r="L104" s="6">
        <v>2471.2704690611399</v>
      </c>
      <c r="M104" t="s">
        <v>890</v>
      </c>
      <c r="N104" s="2"/>
      <c r="AA104" s="6"/>
      <c r="AH104" s="6"/>
    </row>
    <row r="105" spans="1:47" x14ac:dyDescent="0.25">
      <c r="A105" t="s">
        <v>623</v>
      </c>
      <c r="B105" t="s">
        <v>624</v>
      </c>
      <c r="C105" t="s">
        <v>1074</v>
      </c>
      <c r="D105" s="1">
        <v>45821</v>
      </c>
      <c r="E105">
        <v>6</v>
      </c>
      <c r="F105">
        <v>13</v>
      </c>
      <c r="G105">
        <v>2025</v>
      </c>
      <c r="H105">
        <v>164</v>
      </c>
      <c r="I105">
        <v>-74.645037000000002</v>
      </c>
      <c r="J105">
        <v>165.38853700000001</v>
      </c>
      <c r="K105" s="6">
        <v>27401.085074435399</v>
      </c>
      <c r="L105" s="6">
        <v>2707.06136699748</v>
      </c>
      <c r="M105" t="s">
        <v>890</v>
      </c>
      <c r="P105" s="1"/>
      <c r="R105" s="2"/>
      <c r="AA105" s="6"/>
      <c r="AH105" s="6"/>
    </row>
    <row r="106" spans="1:47" x14ac:dyDescent="0.25">
      <c r="A106" t="s">
        <v>623</v>
      </c>
      <c r="B106" t="s">
        <v>624</v>
      </c>
      <c r="C106" t="s">
        <v>1074</v>
      </c>
      <c r="D106" s="1">
        <v>45838</v>
      </c>
      <c r="E106">
        <v>6</v>
      </c>
      <c r="F106">
        <v>30</v>
      </c>
      <c r="G106">
        <v>2025</v>
      </c>
      <c r="H106">
        <v>181</v>
      </c>
      <c r="I106">
        <v>-74.645037000000002</v>
      </c>
      <c r="J106">
        <v>165.38853700000001</v>
      </c>
      <c r="K106" s="6">
        <v>12318.1817711819</v>
      </c>
      <c r="L106" s="6">
        <v>1294.1913539053601</v>
      </c>
      <c r="M106" t="s">
        <v>890</v>
      </c>
      <c r="P106" s="1"/>
      <c r="R106" s="2"/>
      <c r="AA106" s="6"/>
      <c r="AH106" s="6"/>
    </row>
    <row r="107" spans="1:47" x14ac:dyDescent="0.25">
      <c r="A107" t="s">
        <v>623</v>
      </c>
      <c r="B107" t="s">
        <v>624</v>
      </c>
      <c r="C107" t="s">
        <v>1074</v>
      </c>
      <c r="D107" s="1">
        <v>45856</v>
      </c>
      <c r="E107">
        <v>7</v>
      </c>
      <c r="F107">
        <v>18</v>
      </c>
      <c r="G107">
        <v>2025</v>
      </c>
      <c r="H107">
        <v>199</v>
      </c>
      <c r="I107">
        <v>-74.645037000000002</v>
      </c>
      <c r="J107">
        <v>165.38853700000001</v>
      </c>
      <c r="K107" s="6">
        <v>13147.607540269701</v>
      </c>
      <c r="L107" s="6">
        <v>1317.8274771675001</v>
      </c>
      <c r="M107" t="s">
        <v>890</v>
      </c>
      <c r="AA107" s="2"/>
      <c r="AB107" s="3"/>
      <c r="AD107" s="1"/>
      <c r="AE107" s="2"/>
      <c r="AN107" s="6"/>
      <c r="AU107" s="6"/>
    </row>
    <row r="108" spans="1:47" x14ac:dyDescent="0.25">
      <c r="A108" t="s">
        <v>623</v>
      </c>
      <c r="B108" t="s">
        <v>624</v>
      </c>
      <c r="C108" t="s">
        <v>1074</v>
      </c>
      <c r="D108" s="1">
        <v>45875</v>
      </c>
      <c r="E108">
        <v>8</v>
      </c>
      <c r="F108">
        <v>6</v>
      </c>
      <c r="G108">
        <v>2025</v>
      </c>
      <c r="H108">
        <v>218</v>
      </c>
      <c r="I108">
        <v>-74.645037000000002</v>
      </c>
      <c r="J108">
        <v>165.38853700000001</v>
      </c>
      <c r="K108" s="6">
        <v>8637.9179610524097</v>
      </c>
      <c r="L108" s="6">
        <v>923.48106502061705</v>
      </c>
      <c r="M108" t="s">
        <v>890</v>
      </c>
      <c r="AA108" s="2"/>
      <c r="AB108" s="3"/>
      <c r="AD108" s="1"/>
      <c r="AE108" s="2"/>
      <c r="AN108" s="6"/>
      <c r="AU108" s="6"/>
    </row>
    <row r="109" spans="1:47" x14ac:dyDescent="0.25">
      <c r="A109" t="s">
        <v>623</v>
      </c>
      <c r="B109" t="s">
        <v>624</v>
      </c>
      <c r="C109" t="s">
        <v>1074</v>
      </c>
      <c r="D109" s="1">
        <v>45889</v>
      </c>
      <c r="E109">
        <v>8</v>
      </c>
      <c r="F109">
        <v>20</v>
      </c>
      <c r="G109">
        <v>2025</v>
      </c>
      <c r="H109">
        <v>232</v>
      </c>
      <c r="I109">
        <v>-74.645037000000002</v>
      </c>
      <c r="J109">
        <v>165.38853700000001</v>
      </c>
      <c r="K109" s="6">
        <v>9372.2679733504101</v>
      </c>
      <c r="L109" s="6">
        <v>1093.95119375593</v>
      </c>
      <c r="M109" t="s">
        <v>890</v>
      </c>
      <c r="AA109" s="2"/>
      <c r="AB109" s="3"/>
      <c r="AD109" s="1"/>
      <c r="AE109" s="2"/>
      <c r="AN109" s="6"/>
      <c r="AU109" s="6"/>
    </row>
    <row r="110" spans="1:47" x14ac:dyDescent="0.25">
      <c r="A110" t="s">
        <v>623</v>
      </c>
      <c r="B110" t="s">
        <v>624</v>
      </c>
      <c r="C110" t="s">
        <v>1074</v>
      </c>
      <c r="D110" s="1">
        <v>45405</v>
      </c>
      <c r="E110">
        <v>4</v>
      </c>
      <c r="F110">
        <v>23</v>
      </c>
      <c r="G110">
        <v>2024</v>
      </c>
      <c r="H110">
        <v>114</v>
      </c>
      <c r="I110">
        <v>-74.646391159999993</v>
      </c>
      <c r="J110">
        <v>165.38680590000001</v>
      </c>
      <c r="K110" s="6">
        <v>5031.6607257065498</v>
      </c>
      <c r="L110" s="6">
        <v>528.14623064027296</v>
      </c>
      <c r="M110" t="s">
        <v>890</v>
      </c>
      <c r="AA110" s="2"/>
      <c r="AB110" s="3"/>
      <c r="AD110" s="1"/>
      <c r="AE110" s="2"/>
      <c r="AN110" s="6"/>
      <c r="AU110" s="6"/>
    </row>
    <row r="111" spans="1:47" x14ac:dyDescent="0.25">
      <c r="A111" t="s">
        <v>623</v>
      </c>
      <c r="B111" t="s">
        <v>624</v>
      </c>
      <c r="C111" t="s">
        <v>1074</v>
      </c>
      <c r="D111" s="1">
        <v>45411</v>
      </c>
      <c r="E111">
        <v>4</v>
      </c>
      <c r="F111">
        <v>29</v>
      </c>
      <c r="G111">
        <v>2024</v>
      </c>
      <c r="H111">
        <v>120</v>
      </c>
      <c r="I111">
        <v>-74.647318170000005</v>
      </c>
      <c r="J111">
        <v>165.38765485925899</v>
      </c>
      <c r="K111" s="6">
        <v>20430.5387270147</v>
      </c>
      <c r="L111" s="6">
        <v>2170.5273393004099</v>
      </c>
      <c r="M111" t="s">
        <v>890</v>
      </c>
      <c r="AA111" s="2"/>
      <c r="AB111" s="3"/>
      <c r="AD111" s="1"/>
      <c r="AE111" s="2"/>
      <c r="AN111" s="6"/>
      <c r="AU111" s="6"/>
    </row>
    <row r="112" spans="1:47" x14ac:dyDescent="0.25">
      <c r="A112" t="s">
        <v>623</v>
      </c>
      <c r="B112" t="s">
        <v>624</v>
      </c>
      <c r="C112" t="s">
        <v>1074</v>
      </c>
      <c r="D112" s="1">
        <v>45421</v>
      </c>
      <c r="E112">
        <v>5</v>
      </c>
      <c r="F112">
        <v>9</v>
      </c>
      <c r="G112">
        <v>2024</v>
      </c>
      <c r="H112">
        <v>130</v>
      </c>
      <c r="I112">
        <v>-74.64768866</v>
      </c>
      <c r="J112">
        <v>165.39221779629599</v>
      </c>
      <c r="K112" s="6">
        <v>15019.0433474253</v>
      </c>
      <c r="L112" s="6">
        <v>1694.4896614145</v>
      </c>
      <c r="M112" t="s">
        <v>890</v>
      </c>
      <c r="AA112" s="2"/>
      <c r="AB112" s="3"/>
      <c r="AD112" s="1"/>
      <c r="AE112" s="2"/>
      <c r="AN112" s="6"/>
      <c r="AU112" s="6"/>
    </row>
    <row r="113" spans="1:47" x14ac:dyDescent="0.25">
      <c r="A113" t="s">
        <v>623</v>
      </c>
      <c r="B113" t="s">
        <v>624</v>
      </c>
      <c r="C113" t="s">
        <v>1074</v>
      </c>
      <c r="D113" s="1">
        <v>45436</v>
      </c>
      <c r="E113">
        <v>5</v>
      </c>
      <c r="F113">
        <v>24</v>
      </c>
      <c r="G113">
        <v>2024</v>
      </c>
      <c r="H113">
        <v>145</v>
      </c>
      <c r="I113">
        <v>-74.647290350000006</v>
      </c>
      <c r="J113">
        <v>165.39319045555499</v>
      </c>
      <c r="K113" s="6">
        <v>19025.2337865468</v>
      </c>
      <c r="L113" s="6">
        <v>2021.6318652861401</v>
      </c>
      <c r="M113" t="s">
        <v>890</v>
      </c>
      <c r="AA113" s="2"/>
      <c r="AB113" s="3"/>
      <c r="AD113" s="1"/>
      <c r="AE113" s="2"/>
      <c r="AN113" s="6"/>
      <c r="AU113" s="6"/>
    </row>
    <row r="114" spans="1:47" x14ac:dyDescent="0.25">
      <c r="A114" t="s">
        <v>623</v>
      </c>
      <c r="B114" t="s">
        <v>624</v>
      </c>
      <c r="C114" t="s">
        <v>1074</v>
      </c>
      <c r="D114" s="1">
        <v>45449</v>
      </c>
      <c r="E114">
        <v>6</v>
      </c>
      <c r="F114">
        <v>6</v>
      </c>
      <c r="G114">
        <v>2024</v>
      </c>
      <c r="H114">
        <v>158</v>
      </c>
      <c r="I114">
        <v>-74.646682859999999</v>
      </c>
      <c r="J114">
        <v>165.395295</v>
      </c>
      <c r="K114" s="6">
        <v>16307.2535248448</v>
      </c>
      <c r="L114" s="6">
        <v>1702.8079338268301</v>
      </c>
      <c r="M114" t="s">
        <v>890</v>
      </c>
    </row>
    <row r="115" spans="1:47" x14ac:dyDescent="0.25">
      <c r="A115" t="s">
        <v>623</v>
      </c>
      <c r="B115" t="s">
        <v>624</v>
      </c>
      <c r="C115" t="s">
        <v>1074</v>
      </c>
      <c r="D115" s="1">
        <v>45463</v>
      </c>
      <c r="E115">
        <v>6</v>
      </c>
      <c r="F115">
        <v>20</v>
      </c>
      <c r="G115">
        <v>2024</v>
      </c>
      <c r="H115">
        <v>172</v>
      </c>
      <c r="I115">
        <v>-74.646998909999994</v>
      </c>
      <c r="J115">
        <v>165.39369043684201</v>
      </c>
      <c r="K115" s="6">
        <v>10970.5573980221</v>
      </c>
      <c r="L115" s="6">
        <v>1185.71456329794</v>
      </c>
      <c r="M115" t="s">
        <v>890</v>
      </c>
    </row>
    <row r="116" spans="1:47" x14ac:dyDescent="0.25">
      <c r="A116" t="s">
        <v>623</v>
      </c>
      <c r="B116" t="s">
        <v>624</v>
      </c>
      <c r="C116" t="s">
        <v>1074</v>
      </c>
      <c r="D116" s="1">
        <v>45468</v>
      </c>
      <c r="E116">
        <v>6</v>
      </c>
      <c r="F116">
        <v>25</v>
      </c>
      <c r="G116">
        <v>2024</v>
      </c>
      <c r="H116">
        <v>177</v>
      </c>
      <c r="I116">
        <v>-74.646594930000006</v>
      </c>
      <c r="J116">
        <v>165.39365989999999</v>
      </c>
      <c r="K116" s="6">
        <v>14161.504460226601</v>
      </c>
      <c r="L116" s="6">
        <v>1290.81598105897</v>
      </c>
      <c r="M116" t="s">
        <v>890</v>
      </c>
    </row>
    <row r="117" spans="1:47" x14ac:dyDescent="0.25">
      <c r="A117" t="s">
        <v>623</v>
      </c>
      <c r="B117" t="s">
        <v>624</v>
      </c>
      <c r="C117" t="s">
        <v>1074</v>
      </c>
      <c r="D117" s="1">
        <v>45483</v>
      </c>
      <c r="E117">
        <v>7</v>
      </c>
      <c r="F117">
        <v>10</v>
      </c>
      <c r="G117">
        <v>2024</v>
      </c>
      <c r="H117">
        <v>192</v>
      </c>
      <c r="I117">
        <v>-74.646918560000003</v>
      </c>
      <c r="J117">
        <v>165.39369310000001</v>
      </c>
      <c r="K117" s="6">
        <v>9644.0309486053702</v>
      </c>
      <c r="L117" s="6">
        <v>1064.95051670975</v>
      </c>
      <c r="M117" t="s">
        <v>890</v>
      </c>
    </row>
    <row r="118" spans="1:47" x14ac:dyDescent="0.25">
      <c r="A118" t="s">
        <v>623</v>
      </c>
      <c r="B118" t="s">
        <v>624</v>
      </c>
      <c r="C118" t="s">
        <v>1074</v>
      </c>
      <c r="D118" s="1">
        <v>45510</v>
      </c>
      <c r="E118">
        <v>8</v>
      </c>
      <c r="F118">
        <v>6</v>
      </c>
      <c r="G118">
        <v>2024</v>
      </c>
      <c r="H118">
        <v>219</v>
      </c>
      <c r="I118">
        <v>-74.646629489999995</v>
      </c>
      <c r="J118">
        <v>165.3944583</v>
      </c>
      <c r="K118" s="6">
        <v>6588.8722175581597</v>
      </c>
      <c r="L118" s="6">
        <v>723.46018049384702</v>
      </c>
      <c r="M118" t="s">
        <v>890</v>
      </c>
      <c r="P118" s="1"/>
      <c r="R118" s="2"/>
      <c r="AA118" s="6"/>
      <c r="AH118" s="6"/>
    </row>
    <row r="119" spans="1:47" x14ac:dyDescent="0.25">
      <c r="A119" t="s">
        <v>623</v>
      </c>
      <c r="B119" t="s">
        <v>624</v>
      </c>
      <c r="C119" t="s">
        <v>1074</v>
      </c>
      <c r="D119" s="1">
        <v>45513</v>
      </c>
      <c r="E119">
        <v>8</v>
      </c>
      <c r="F119">
        <v>9</v>
      </c>
      <c r="G119">
        <v>2024</v>
      </c>
      <c r="H119">
        <v>222</v>
      </c>
      <c r="I119">
        <v>-74.647856700000006</v>
      </c>
      <c r="J119">
        <v>165.39687258571399</v>
      </c>
      <c r="K119" s="6">
        <v>11826.2424286187</v>
      </c>
      <c r="L119" s="6">
        <v>1216.58827988599</v>
      </c>
      <c r="M119" t="s">
        <v>890</v>
      </c>
      <c r="P119" s="1"/>
      <c r="R119" s="2"/>
      <c r="AA119" s="6"/>
      <c r="AH119" s="6"/>
    </row>
    <row r="120" spans="1:47" x14ac:dyDescent="0.25">
      <c r="A120" t="s">
        <v>0</v>
      </c>
      <c r="B120" t="s">
        <v>1</v>
      </c>
      <c r="C120" t="s">
        <v>1077</v>
      </c>
      <c r="D120" s="1">
        <v>45847</v>
      </c>
      <c r="E120" s="16">
        <v>7</v>
      </c>
      <c r="F120">
        <v>9</v>
      </c>
      <c r="G120">
        <v>2025</v>
      </c>
      <c r="H120">
        <v>190</v>
      </c>
      <c r="I120">
        <v>-76.930000000000007</v>
      </c>
      <c r="J120">
        <v>166.94</v>
      </c>
      <c r="K120">
        <v>563.95000000000005</v>
      </c>
      <c r="L120">
        <v>67.22</v>
      </c>
      <c r="M120" t="s">
        <v>1078</v>
      </c>
    </row>
    <row r="121" spans="1:47" x14ac:dyDescent="0.25">
      <c r="A121" t="s">
        <v>111</v>
      </c>
      <c r="B121" t="s">
        <v>112</v>
      </c>
      <c r="C121" t="s">
        <v>1077</v>
      </c>
      <c r="D121" s="1">
        <v>45862</v>
      </c>
      <c r="E121">
        <v>7</v>
      </c>
      <c r="F121">
        <v>24</v>
      </c>
      <c r="G121">
        <v>2025</v>
      </c>
      <c r="H121">
        <v>205.2</v>
      </c>
      <c r="I121">
        <v>-77.150000000000006</v>
      </c>
      <c r="J121">
        <v>-157.58000000000001</v>
      </c>
      <c r="K121" s="6">
        <v>21418.41</v>
      </c>
      <c r="L121" s="6">
        <v>2910.88</v>
      </c>
      <c r="M121" t="s">
        <v>1078</v>
      </c>
    </row>
    <row r="122" spans="1:47" x14ac:dyDescent="0.25">
      <c r="A122" t="s">
        <v>240</v>
      </c>
      <c r="B122" t="s">
        <v>241</v>
      </c>
      <c r="C122" t="s">
        <v>1077</v>
      </c>
      <c r="D122" s="1">
        <v>45856</v>
      </c>
      <c r="E122">
        <v>7</v>
      </c>
      <c r="F122">
        <v>18</v>
      </c>
      <c r="G122">
        <v>2025</v>
      </c>
      <c r="H122">
        <v>199</v>
      </c>
      <c r="I122">
        <v>-73.349999999999994</v>
      </c>
      <c r="J122">
        <v>169.61</v>
      </c>
      <c r="K122" s="6">
        <v>16088.12</v>
      </c>
      <c r="L122" s="6">
        <v>2521.48</v>
      </c>
      <c r="M122" t="s">
        <v>1078</v>
      </c>
    </row>
    <row r="123" spans="1:47" x14ac:dyDescent="0.25">
      <c r="A123" t="s">
        <v>240</v>
      </c>
      <c r="B123" t="s">
        <v>241</v>
      </c>
      <c r="C123" t="s">
        <v>1077</v>
      </c>
      <c r="D123" s="1">
        <v>45489</v>
      </c>
      <c r="E123">
        <v>7</v>
      </c>
      <c r="F123">
        <v>16</v>
      </c>
      <c r="G123">
        <v>2024</v>
      </c>
      <c r="H123">
        <v>196.5</v>
      </c>
      <c r="I123">
        <v>-73.349999999999994</v>
      </c>
      <c r="J123">
        <v>169.61</v>
      </c>
      <c r="K123" s="6">
        <v>16376.19</v>
      </c>
      <c r="L123" s="6">
        <v>2390.7199999999998</v>
      </c>
      <c r="M123" t="s">
        <v>1078</v>
      </c>
    </row>
    <row r="124" spans="1:47" x14ac:dyDescent="0.25">
      <c r="A124" t="s">
        <v>364</v>
      </c>
      <c r="B124" t="s">
        <v>365</v>
      </c>
      <c r="C124" t="s">
        <v>1077</v>
      </c>
      <c r="D124" s="1">
        <v>45856</v>
      </c>
      <c r="E124" s="16">
        <v>7</v>
      </c>
      <c r="F124">
        <v>18</v>
      </c>
      <c r="G124">
        <v>2025</v>
      </c>
      <c r="H124">
        <v>199</v>
      </c>
      <c r="I124">
        <v>-77.45</v>
      </c>
      <c r="J124">
        <v>169.28</v>
      </c>
      <c r="K124" s="6">
        <v>1990.66</v>
      </c>
      <c r="L124" s="6">
        <v>312.98</v>
      </c>
      <c r="M124" t="s">
        <v>1078</v>
      </c>
    </row>
    <row r="125" spans="1:47" x14ac:dyDescent="0.25">
      <c r="A125" t="s">
        <v>364</v>
      </c>
      <c r="B125" t="s">
        <v>365</v>
      </c>
      <c r="C125" t="s">
        <v>1077</v>
      </c>
      <c r="D125" s="1">
        <v>45474</v>
      </c>
      <c r="E125" s="16">
        <v>7</v>
      </c>
      <c r="F125">
        <v>1</v>
      </c>
      <c r="G125">
        <v>2024</v>
      </c>
      <c r="H125">
        <v>182.67</v>
      </c>
      <c r="I125">
        <v>-77.45</v>
      </c>
      <c r="J125">
        <v>169.28</v>
      </c>
      <c r="K125" s="6">
        <v>2349.79</v>
      </c>
      <c r="L125" s="6">
        <v>538.41999999999996</v>
      </c>
      <c r="M125" t="s">
        <v>1078</v>
      </c>
    </row>
    <row r="126" spans="1:47" x14ac:dyDescent="0.25">
      <c r="A126" t="s">
        <v>451</v>
      </c>
      <c r="B126" t="s">
        <v>452</v>
      </c>
      <c r="C126" t="s">
        <v>1077</v>
      </c>
      <c r="D126" s="1">
        <v>45492</v>
      </c>
      <c r="E126">
        <v>7</v>
      </c>
      <c r="F126">
        <v>19</v>
      </c>
      <c r="G126">
        <v>2025</v>
      </c>
      <c r="H126">
        <v>200.67</v>
      </c>
      <c r="I126">
        <v>-76.176363300000006</v>
      </c>
      <c r="J126">
        <v>168.39021854285701</v>
      </c>
      <c r="K126" s="6">
        <v>4318.43</v>
      </c>
      <c r="L126" s="6">
        <v>538.26</v>
      </c>
      <c r="M126" t="s">
        <v>1078</v>
      </c>
    </row>
    <row r="127" spans="1:47" x14ac:dyDescent="0.25">
      <c r="A127" t="s">
        <v>451</v>
      </c>
      <c r="B127" t="s">
        <v>452</v>
      </c>
      <c r="C127" t="s">
        <v>1077</v>
      </c>
      <c r="D127" s="1">
        <v>45467</v>
      </c>
      <c r="E127">
        <v>8</v>
      </c>
      <c r="F127">
        <v>9</v>
      </c>
      <c r="G127">
        <v>2024</v>
      </c>
      <c r="H127">
        <v>176</v>
      </c>
      <c r="I127">
        <v>-76.176363300000006</v>
      </c>
      <c r="J127">
        <v>168.39021854285701</v>
      </c>
      <c r="K127" s="6">
        <v>5029.93</v>
      </c>
      <c r="L127" s="6">
        <v>581.62</v>
      </c>
      <c r="M127" t="s">
        <v>1078</v>
      </c>
    </row>
    <row r="128" spans="1:47" x14ac:dyDescent="0.25">
      <c r="A128" t="s">
        <v>538</v>
      </c>
      <c r="B128" t="s">
        <v>539</v>
      </c>
      <c r="C128" t="s">
        <v>1077</v>
      </c>
      <c r="D128" s="1">
        <v>45856</v>
      </c>
      <c r="E128">
        <v>7</v>
      </c>
      <c r="F128">
        <v>18</v>
      </c>
      <c r="G128">
        <v>2025</v>
      </c>
      <c r="H128">
        <v>199.33</v>
      </c>
      <c r="I128">
        <v>-71.98</v>
      </c>
      <c r="J128">
        <v>170.61</v>
      </c>
      <c r="K128" s="6">
        <v>7252.01</v>
      </c>
      <c r="L128" s="6">
        <v>1095.5</v>
      </c>
      <c r="M128" t="s">
        <v>1078</v>
      </c>
    </row>
    <row r="129" spans="1:34" x14ac:dyDescent="0.25">
      <c r="A129" t="s">
        <v>538</v>
      </c>
      <c r="B129" t="s">
        <v>539</v>
      </c>
      <c r="C129" t="s">
        <v>1077</v>
      </c>
      <c r="D129" s="1">
        <v>45477</v>
      </c>
      <c r="E129">
        <v>7</v>
      </c>
      <c r="F129">
        <v>4</v>
      </c>
      <c r="G129">
        <v>2024</v>
      </c>
      <c r="H129">
        <v>185</v>
      </c>
      <c r="I129">
        <v>-71.98</v>
      </c>
      <c r="J129">
        <v>170.6</v>
      </c>
      <c r="K129" s="6">
        <v>5261.45</v>
      </c>
      <c r="L129" s="6">
        <v>938.59</v>
      </c>
      <c r="M129" t="s">
        <v>1078</v>
      </c>
      <c r="P129" s="1"/>
      <c r="R129" s="2"/>
      <c r="AA129" s="6"/>
      <c r="AH129" s="6"/>
    </row>
    <row r="130" spans="1:34" x14ac:dyDescent="0.25">
      <c r="A130" t="s">
        <v>623</v>
      </c>
      <c r="B130" t="s">
        <v>624</v>
      </c>
      <c r="C130" t="s">
        <v>1077</v>
      </c>
      <c r="D130" s="1">
        <v>45856</v>
      </c>
      <c r="E130">
        <v>7</v>
      </c>
      <c r="F130">
        <v>18</v>
      </c>
      <c r="G130">
        <v>2025</v>
      </c>
      <c r="H130">
        <v>199.33</v>
      </c>
      <c r="I130">
        <v>-74.650000000000006</v>
      </c>
      <c r="J130">
        <v>165.39</v>
      </c>
      <c r="K130" s="6">
        <v>11367.9</v>
      </c>
      <c r="L130" s="6">
        <v>1819.17</v>
      </c>
      <c r="M130" t="s">
        <v>1078</v>
      </c>
    </row>
    <row r="131" spans="1:34" x14ac:dyDescent="0.25">
      <c r="A131" t="s">
        <v>623</v>
      </c>
      <c r="B131" t="s">
        <v>624</v>
      </c>
      <c r="C131" t="s">
        <v>1077</v>
      </c>
      <c r="D131" s="1">
        <v>45482</v>
      </c>
      <c r="E131">
        <v>7</v>
      </c>
      <c r="F131">
        <v>9</v>
      </c>
      <c r="G131">
        <v>2024</v>
      </c>
      <c r="H131">
        <v>190</v>
      </c>
      <c r="I131">
        <v>-74.650000000000006</v>
      </c>
      <c r="J131">
        <v>165.39</v>
      </c>
      <c r="K131" s="6">
        <v>10341.24</v>
      </c>
      <c r="L131" s="6">
        <v>1897.35</v>
      </c>
      <c r="M131" t="s">
        <v>1078</v>
      </c>
    </row>
    <row r="132" spans="1:34" x14ac:dyDescent="0.25">
      <c r="A132" t="s">
        <v>0</v>
      </c>
      <c r="B132" t="s">
        <v>1</v>
      </c>
      <c r="C132" t="s">
        <v>1076</v>
      </c>
      <c r="D132" t="s">
        <v>885</v>
      </c>
      <c r="E132" t="s">
        <v>885</v>
      </c>
      <c r="F132" t="s">
        <v>885</v>
      </c>
      <c r="G132">
        <v>2024</v>
      </c>
      <c r="H132" t="s">
        <v>885</v>
      </c>
      <c r="I132">
        <v>-76.94</v>
      </c>
      <c r="J132">
        <v>167.02</v>
      </c>
      <c r="K132">
        <v>293.27367138409801</v>
      </c>
      <c r="L132">
        <v>123.62036790900601</v>
      </c>
      <c r="M132" t="s">
        <v>1075</v>
      </c>
      <c r="N132" t="s">
        <v>1080</v>
      </c>
    </row>
    <row r="133" spans="1:34" x14ac:dyDescent="0.25">
      <c r="A133" t="s">
        <v>0</v>
      </c>
      <c r="B133" t="s">
        <v>1</v>
      </c>
      <c r="C133" t="s">
        <v>1076</v>
      </c>
      <c r="D133" s="1">
        <v>45933</v>
      </c>
      <c r="E133">
        <v>10</v>
      </c>
      <c r="F133">
        <v>3</v>
      </c>
      <c r="G133">
        <v>2025</v>
      </c>
      <c r="H133">
        <v>276</v>
      </c>
      <c r="I133">
        <v>-76.94</v>
      </c>
      <c r="J133">
        <v>167.02</v>
      </c>
      <c r="K133">
        <v>273.89797034803797</v>
      </c>
      <c r="L133">
        <v>113.644228857277</v>
      </c>
      <c r="M133" t="s">
        <v>1075</v>
      </c>
    </row>
    <row r="134" spans="1:34" x14ac:dyDescent="0.25">
      <c r="A134" t="s">
        <v>111</v>
      </c>
      <c r="B134" t="s">
        <v>112</v>
      </c>
      <c r="C134" t="s">
        <v>1076</v>
      </c>
      <c r="D134" s="1">
        <v>45583</v>
      </c>
      <c r="E134">
        <v>10</v>
      </c>
      <c r="F134">
        <v>18</v>
      </c>
      <c r="G134">
        <v>2024</v>
      </c>
      <c r="H134">
        <v>292</v>
      </c>
      <c r="I134">
        <v>-77.135000000000005</v>
      </c>
      <c r="J134">
        <v>-157.715</v>
      </c>
      <c r="K134" s="6">
        <v>23821.739111590701</v>
      </c>
      <c r="L134" s="6">
        <v>6363.6769728346799</v>
      </c>
      <c r="M134" t="s">
        <v>1075</v>
      </c>
    </row>
    <row r="135" spans="1:34" x14ac:dyDescent="0.25">
      <c r="A135" t="s">
        <v>111</v>
      </c>
      <c r="B135" t="s">
        <v>112</v>
      </c>
      <c r="C135" t="s">
        <v>1076</v>
      </c>
      <c r="D135" s="1">
        <v>45929</v>
      </c>
      <c r="E135">
        <v>9</v>
      </c>
      <c r="F135">
        <v>29</v>
      </c>
      <c r="G135">
        <v>2025</v>
      </c>
      <c r="H135">
        <v>272</v>
      </c>
      <c r="I135">
        <v>-77.135000000000005</v>
      </c>
      <c r="J135">
        <v>-157.715</v>
      </c>
      <c r="K135" s="6">
        <v>23618.610811503899</v>
      </c>
      <c r="L135" s="6">
        <v>6739.4749036125704</v>
      </c>
      <c r="M135" t="s">
        <v>1075</v>
      </c>
    </row>
    <row r="136" spans="1:34" x14ac:dyDescent="0.25">
      <c r="A136" t="s">
        <v>240</v>
      </c>
      <c r="B136" t="s">
        <v>241</v>
      </c>
      <c r="C136" t="s">
        <v>1076</v>
      </c>
      <c r="D136" s="1">
        <v>45925</v>
      </c>
      <c r="E136">
        <v>9</v>
      </c>
      <c r="F136">
        <v>25</v>
      </c>
      <c r="G136">
        <v>2025</v>
      </c>
      <c r="H136">
        <v>268</v>
      </c>
      <c r="I136">
        <v>-73.349999999999994</v>
      </c>
      <c r="J136">
        <v>169.61</v>
      </c>
      <c r="K136">
        <v>12409.807796953</v>
      </c>
      <c r="L136">
        <v>2617.7321655516898</v>
      </c>
      <c r="M136" t="s">
        <v>1075</v>
      </c>
      <c r="N136" t="s">
        <v>753</v>
      </c>
    </row>
    <row r="137" spans="1:34" x14ac:dyDescent="0.25">
      <c r="A137" t="s">
        <v>240</v>
      </c>
      <c r="B137" t="s">
        <v>241</v>
      </c>
      <c r="C137" t="s">
        <v>1076</v>
      </c>
      <c r="D137" s="1">
        <v>45925</v>
      </c>
      <c r="E137">
        <v>9</v>
      </c>
      <c r="F137">
        <v>25</v>
      </c>
      <c r="G137">
        <v>2025</v>
      </c>
      <c r="H137">
        <v>268</v>
      </c>
      <c r="I137">
        <v>-73.349999999999994</v>
      </c>
      <c r="J137">
        <v>169.61</v>
      </c>
      <c r="K137">
        <v>8850.1174659997196</v>
      </c>
      <c r="L137">
        <v>2638.1451956722299</v>
      </c>
      <c r="M137" t="s">
        <v>1075</v>
      </c>
      <c r="N137" t="s">
        <v>767</v>
      </c>
    </row>
    <row r="138" spans="1:34" x14ac:dyDescent="0.25">
      <c r="A138" t="s">
        <v>240</v>
      </c>
      <c r="B138" t="s">
        <v>241</v>
      </c>
      <c r="C138" t="s">
        <v>1076</v>
      </c>
      <c r="D138" s="1">
        <v>45925</v>
      </c>
      <c r="E138">
        <v>9</v>
      </c>
      <c r="F138">
        <v>25</v>
      </c>
      <c r="G138">
        <v>2025</v>
      </c>
      <c r="H138">
        <v>268</v>
      </c>
      <c r="I138">
        <v>-73.349999999999994</v>
      </c>
      <c r="J138">
        <v>169.61</v>
      </c>
      <c r="K138">
        <v>10089.035478232399</v>
      </c>
      <c r="L138">
        <v>2369.1238350262702</v>
      </c>
      <c r="M138" t="s">
        <v>1075</v>
      </c>
      <c r="N138" t="s">
        <v>769</v>
      </c>
    </row>
    <row r="139" spans="1:34" x14ac:dyDescent="0.25">
      <c r="A139" t="s">
        <v>364</v>
      </c>
      <c r="B139" t="s">
        <v>365</v>
      </c>
      <c r="C139" t="s">
        <v>1076</v>
      </c>
      <c r="D139" s="1" t="s">
        <v>885</v>
      </c>
      <c r="E139" s="16" t="s">
        <v>885</v>
      </c>
      <c r="F139" t="s">
        <v>885</v>
      </c>
      <c r="G139">
        <v>2024</v>
      </c>
      <c r="H139" t="s">
        <v>885</v>
      </c>
      <c r="I139">
        <v>-77.459999999999994</v>
      </c>
      <c r="J139">
        <v>169.32</v>
      </c>
      <c r="K139" s="6">
        <v>1332.22398527275</v>
      </c>
      <c r="L139" s="6">
        <v>232.35302783361001</v>
      </c>
      <c r="M139" t="s">
        <v>1075</v>
      </c>
      <c r="N139" t="s">
        <v>1080</v>
      </c>
    </row>
    <row r="140" spans="1:34" x14ac:dyDescent="0.25">
      <c r="A140" t="s">
        <v>364</v>
      </c>
      <c r="B140" t="s">
        <v>365</v>
      </c>
      <c r="C140" t="s">
        <v>1076</v>
      </c>
      <c r="D140" s="1">
        <v>45940</v>
      </c>
      <c r="E140">
        <v>10</v>
      </c>
      <c r="F140">
        <v>10</v>
      </c>
      <c r="G140">
        <v>2025</v>
      </c>
      <c r="H140">
        <v>283</v>
      </c>
      <c r="I140">
        <v>-77.459999999999994</v>
      </c>
      <c r="J140">
        <v>169.32</v>
      </c>
      <c r="K140" s="6">
        <v>1715.3462213370599</v>
      </c>
      <c r="L140" s="6">
        <v>330.47912272201398</v>
      </c>
      <c r="M140" t="s">
        <v>1075</v>
      </c>
    </row>
    <row r="141" spans="1:34" x14ac:dyDescent="0.25">
      <c r="A141" t="s">
        <v>451</v>
      </c>
      <c r="B141" t="s">
        <v>452</v>
      </c>
      <c r="C141" t="s">
        <v>1076</v>
      </c>
      <c r="D141" t="s">
        <v>885</v>
      </c>
      <c r="E141" t="s">
        <v>885</v>
      </c>
      <c r="F141" t="s">
        <v>885</v>
      </c>
      <c r="G141">
        <v>2024</v>
      </c>
      <c r="H141" t="s">
        <v>885</v>
      </c>
      <c r="I141">
        <v>-76.180000000000007</v>
      </c>
      <c r="J141">
        <v>168.43</v>
      </c>
      <c r="K141" s="6">
        <v>3172.5315182796198</v>
      </c>
      <c r="L141" s="6">
        <v>836.95163966881898</v>
      </c>
      <c r="M141" t="s">
        <v>1075</v>
      </c>
      <c r="N141" t="s">
        <v>1080</v>
      </c>
    </row>
    <row r="142" spans="1:34" x14ac:dyDescent="0.25">
      <c r="A142" t="s">
        <v>451</v>
      </c>
      <c r="B142" t="s">
        <v>452</v>
      </c>
      <c r="C142" t="s">
        <v>1076</v>
      </c>
      <c r="D142" s="1">
        <v>45954</v>
      </c>
      <c r="E142">
        <v>10</v>
      </c>
      <c r="F142">
        <v>24</v>
      </c>
      <c r="G142">
        <v>2025</v>
      </c>
      <c r="H142">
        <v>297</v>
      </c>
      <c r="I142">
        <v>-76.180000000000007</v>
      </c>
      <c r="J142">
        <v>168.43</v>
      </c>
      <c r="K142" s="6">
        <v>2998.2686839243902</v>
      </c>
      <c r="L142" s="6">
        <v>847.33834295368604</v>
      </c>
      <c r="M142" t="s">
        <v>1075</v>
      </c>
    </row>
    <row r="143" spans="1:34" x14ac:dyDescent="0.25">
      <c r="A143" t="s">
        <v>538</v>
      </c>
      <c r="B143" t="s">
        <v>539</v>
      </c>
      <c r="C143" t="s">
        <v>1076</v>
      </c>
      <c r="D143" s="1">
        <v>45952</v>
      </c>
      <c r="E143">
        <v>10</v>
      </c>
      <c r="F143">
        <v>22</v>
      </c>
      <c r="G143">
        <v>2025</v>
      </c>
      <c r="H143">
        <v>295</v>
      </c>
      <c r="I143">
        <v>-71.989999999999995</v>
      </c>
      <c r="J143">
        <v>170.59</v>
      </c>
      <c r="K143" s="6">
        <v>4049.6042319881399</v>
      </c>
      <c r="L143" s="6">
        <v>979.09588400158498</v>
      </c>
      <c r="M143" t="s">
        <v>1075</v>
      </c>
    </row>
    <row r="144" spans="1:34" x14ac:dyDescent="0.25">
      <c r="A144" t="s">
        <v>538</v>
      </c>
      <c r="B144" t="s">
        <v>539</v>
      </c>
      <c r="C144" t="s">
        <v>1076</v>
      </c>
      <c r="D144" s="1">
        <v>45576</v>
      </c>
      <c r="E144">
        <v>10</v>
      </c>
      <c r="F144">
        <v>11</v>
      </c>
      <c r="G144">
        <v>2024</v>
      </c>
      <c r="H144">
        <v>285</v>
      </c>
      <c r="I144">
        <v>-71.989999999999995</v>
      </c>
      <c r="J144">
        <v>170.59</v>
      </c>
      <c r="K144" s="6">
        <v>4382.1129978388999</v>
      </c>
      <c r="L144" s="6">
        <v>814.91775564922602</v>
      </c>
      <c r="M144" t="s">
        <v>1075</v>
      </c>
    </row>
    <row r="145" spans="1:34" x14ac:dyDescent="0.25">
      <c r="A145" t="s">
        <v>623</v>
      </c>
      <c r="B145" t="s">
        <v>624</v>
      </c>
      <c r="C145" t="s">
        <v>1076</v>
      </c>
      <c r="D145" s="1">
        <v>45592</v>
      </c>
      <c r="E145">
        <v>10</v>
      </c>
      <c r="F145">
        <v>27</v>
      </c>
      <c r="G145">
        <v>2024</v>
      </c>
      <c r="H145">
        <v>301</v>
      </c>
      <c r="I145">
        <v>-74.64</v>
      </c>
      <c r="J145">
        <v>165.37</v>
      </c>
      <c r="K145" s="6">
        <v>7458.1892687337604</v>
      </c>
      <c r="L145" s="6">
        <v>1616.4237107541401</v>
      </c>
      <c r="M145" t="s">
        <v>1075</v>
      </c>
      <c r="P145" s="1"/>
      <c r="R145" s="2"/>
      <c r="AA145" s="6"/>
      <c r="AH145" s="6"/>
    </row>
    <row r="146" spans="1:34" x14ac:dyDescent="0.25">
      <c r="A146" t="s">
        <v>623</v>
      </c>
      <c r="B146" t="s">
        <v>624</v>
      </c>
      <c r="C146" t="s">
        <v>1076</v>
      </c>
      <c r="D146" s="1">
        <v>45962</v>
      </c>
      <c r="E146">
        <v>11</v>
      </c>
      <c r="F146">
        <v>1</v>
      </c>
      <c r="G146">
        <v>2025</v>
      </c>
      <c r="H146">
        <v>305</v>
      </c>
      <c r="I146">
        <v>-74.64</v>
      </c>
      <c r="J146">
        <v>165.37</v>
      </c>
      <c r="K146" s="6">
        <v>6819.6388978741297</v>
      </c>
      <c r="L146" s="6">
        <v>1786.3114644796401</v>
      </c>
      <c r="M146" t="s">
        <v>1075</v>
      </c>
    </row>
    <row r="147" spans="1:34" x14ac:dyDescent="0.25">
      <c r="A147" t="s">
        <v>0</v>
      </c>
      <c r="B147" t="s">
        <v>1</v>
      </c>
      <c r="C147" t="s">
        <v>1076</v>
      </c>
      <c r="D147" s="1">
        <v>45933</v>
      </c>
      <c r="E147">
        <v>10</v>
      </c>
      <c r="F147">
        <v>3</v>
      </c>
      <c r="G147">
        <v>2025</v>
      </c>
      <c r="H147">
        <v>276</v>
      </c>
      <c r="I147">
        <v>-76.932184000000007</v>
      </c>
      <c r="J147">
        <v>166.94161800000001</v>
      </c>
      <c r="K147" s="4">
        <v>1198.4072953448699</v>
      </c>
      <c r="L147" s="6">
        <v>99.540289081739601</v>
      </c>
      <c r="M147" t="s">
        <v>1071</v>
      </c>
    </row>
    <row r="148" spans="1:34" x14ac:dyDescent="0.25">
      <c r="A148" t="s">
        <v>111</v>
      </c>
      <c r="B148" t="s">
        <v>112</v>
      </c>
      <c r="C148" t="s">
        <v>1076</v>
      </c>
      <c r="D148" s="1">
        <v>45929</v>
      </c>
      <c r="E148">
        <v>9</v>
      </c>
      <c r="F148">
        <v>29</v>
      </c>
      <c r="G148">
        <v>2025</v>
      </c>
      <c r="H148">
        <v>272</v>
      </c>
      <c r="I148">
        <v>-77.135000000000005</v>
      </c>
      <c r="J148">
        <v>-157.715</v>
      </c>
      <c r="K148" s="6">
        <v>160987.53357217001</v>
      </c>
      <c r="L148" s="6">
        <v>17148.025596260999</v>
      </c>
      <c r="M148" t="s">
        <v>1071</v>
      </c>
    </row>
    <row r="149" spans="1:34" x14ac:dyDescent="0.25">
      <c r="A149" t="s">
        <v>813</v>
      </c>
      <c r="B149" t="s">
        <v>112</v>
      </c>
      <c r="C149" t="s">
        <v>1076</v>
      </c>
      <c r="D149" s="1">
        <v>45583</v>
      </c>
      <c r="E149">
        <v>10</v>
      </c>
      <c r="F149">
        <v>18</v>
      </c>
      <c r="G149">
        <v>2024</v>
      </c>
      <c r="H149">
        <v>292</v>
      </c>
      <c r="I149">
        <v>-77.151399999999995</v>
      </c>
      <c r="J149">
        <v>-157.58410000000001</v>
      </c>
      <c r="K149" s="6">
        <v>93554.120508881897</v>
      </c>
      <c r="L149" s="6">
        <v>8541.8463167075097</v>
      </c>
      <c r="M149" t="s">
        <v>1071</v>
      </c>
      <c r="N149" s="2"/>
    </row>
    <row r="150" spans="1:34" x14ac:dyDescent="0.25">
      <c r="A150" t="s">
        <v>240</v>
      </c>
      <c r="B150" t="s">
        <v>241</v>
      </c>
      <c r="C150" t="s">
        <v>1076</v>
      </c>
      <c r="D150" s="1">
        <v>45925</v>
      </c>
      <c r="E150">
        <v>9</v>
      </c>
      <c r="F150">
        <v>25</v>
      </c>
      <c r="G150">
        <v>2025</v>
      </c>
      <c r="H150">
        <v>268</v>
      </c>
      <c r="I150">
        <v>-73.349999999999994</v>
      </c>
      <c r="J150">
        <v>169.61</v>
      </c>
      <c r="K150">
        <v>88794.036749999999</v>
      </c>
      <c r="L150" s="6">
        <v>8906.7078824819891</v>
      </c>
      <c r="M150" t="s">
        <v>1071</v>
      </c>
      <c r="N150" t="s">
        <v>753</v>
      </c>
    </row>
    <row r="151" spans="1:34" x14ac:dyDescent="0.25">
      <c r="A151" t="s">
        <v>240</v>
      </c>
      <c r="B151" t="s">
        <v>241</v>
      </c>
      <c r="C151" t="s">
        <v>1076</v>
      </c>
      <c r="D151" s="1">
        <v>45925</v>
      </c>
      <c r="E151">
        <v>9</v>
      </c>
      <c r="F151">
        <v>25</v>
      </c>
      <c r="G151">
        <v>2025</v>
      </c>
      <c r="H151">
        <v>268</v>
      </c>
      <c r="I151">
        <v>-73.349999999999994</v>
      </c>
      <c r="J151">
        <v>169.61</v>
      </c>
      <c r="K151" s="4">
        <v>29088.164213614102</v>
      </c>
      <c r="L151" s="6">
        <v>2917.7610452778099</v>
      </c>
      <c r="M151" t="s">
        <v>1071</v>
      </c>
      <c r="N151" t="s">
        <v>767</v>
      </c>
    </row>
    <row r="152" spans="1:34" ht="14.25" customHeight="1" x14ac:dyDescent="0.25">
      <c r="A152" t="s">
        <v>240</v>
      </c>
      <c r="B152" t="s">
        <v>241</v>
      </c>
      <c r="C152" t="s">
        <v>1076</v>
      </c>
      <c r="D152" s="1">
        <v>45925</v>
      </c>
      <c r="E152">
        <v>9</v>
      </c>
      <c r="F152">
        <v>25</v>
      </c>
      <c r="G152">
        <v>2025</v>
      </c>
      <c r="H152">
        <v>268</v>
      </c>
      <c r="I152">
        <v>-73.349999999999994</v>
      </c>
      <c r="J152">
        <v>169.61</v>
      </c>
      <c r="K152" s="4">
        <v>59705.8725646413</v>
      </c>
      <c r="L152" s="6">
        <v>5988.94683982489</v>
      </c>
      <c r="M152" t="s">
        <v>1071</v>
      </c>
      <c r="N152" t="s">
        <v>769</v>
      </c>
    </row>
    <row r="153" spans="1:34" x14ac:dyDescent="0.25">
      <c r="A153" t="s">
        <v>240</v>
      </c>
      <c r="B153" t="s">
        <v>241</v>
      </c>
      <c r="C153" t="s">
        <v>1076</v>
      </c>
      <c r="D153" s="1">
        <v>45577</v>
      </c>
      <c r="E153">
        <v>10</v>
      </c>
      <c r="F153">
        <v>12</v>
      </c>
      <c r="G153">
        <v>2024</v>
      </c>
      <c r="H153">
        <v>286</v>
      </c>
      <c r="I153">
        <v>-73.348299999999995</v>
      </c>
      <c r="J153">
        <v>169.6242</v>
      </c>
      <c r="K153" s="6">
        <v>12045.8161844612</v>
      </c>
      <c r="L153" s="6">
        <v>2349.1057802120499</v>
      </c>
      <c r="M153" t="s">
        <v>1075</v>
      </c>
    </row>
    <row r="154" spans="1:34" x14ac:dyDescent="0.25">
      <c r="A154" t="s">
        <v>364</v>
      </c>
      <c r="B154" t="s">
        <v>365</v>
      </c>
      <c r="C154" t="s">
        <v>1076</v>
      </c>
      <c r="D154" s="1">
        <v>45940</v>
      </c>
      <c r="E154">
        <v>10</v>
      </c>
      <c r="F154">
        <v>10</v>
      </c>
      <c r="G154">
        <v>2025</v>
      </c>
      <c r="H154">
        <v>283</v>
      </c>
      <c r="I154">
        <v>-77.459999999999994</v>
      </c>
      <c r="J154">
        <v>169.32</v>
      </c>
      <c r="K154" s="6">
        <v>15571.724936475901</v>
      </c>
      <c r="L154" s="6">
        <v>1662.40745709719</v>
      </c>
      <c r="M154" t="s">
        <v>1071</v>
      </c>
    </row>
    <row r="155" spans="1:34" x14ac:dyDescent="0.25">
      <c r="A155" t="s">
        <v>451</v>
      </c>
      <c r="B155" t="s">
        <v>452</v>
      </c>
      <c r="C155" t="s">
        <v>1076</v>
      </c>
      <c r="D155" s="1">
        <v>45954</v>
      </c>
      <c r="E155">
        <v>10</v>
      </c>
      <c r="F155">
        <v>24</v>
      </c>
      <c r="G155">
        <v>2025</v>
      </c>
      <c r="H155">
        <v>297</v>
      </c>
      <c r="I155">
        <v>-76.180000000000007</v>
      </c>
      <c r="J155">
        <v>168.43</v>
      </c>
      <c r="K155" s="6">
        <v>14857.1292518354</v>
      </c>
      <c r="L155" s="6">
        <v>1432.4796890744101</v>
      </c>
      <c r="M155" t="s">
        <v>1071</v>
      </c>
    </row>
    <row r="156" spans="1:34" x14ac:dyDescent="0.25">
      <c r="A156" t="s">
        <v>538</v>
      </c>
      <c r="B156" t="s">
        <v>539</v>
      </c>
      <c r="C156" t="s">
        <v>1076</v>
      </c>
      <c r="D156" s="1">
        <v>45952</v>
      </c>
      <c r="E156">
        <v>10</v>
      </c>
      <c r="F156">
        <v>22</v>
      </c>
      <c r="G156">
        <v>2025</v>
      </c>
      <c r="H156">
        <v>295</v>
      </c>
      <c r="I156">
        <v>-71.989999999999995</v>
      </c>
      <c r="J156">
        <v>170.59</v>
      </c>
      <c r="K156" s="6">
        <v>21047.738580909601</v>
      </c>
      <c r="L156" s="6">
        <v>1843.9509106179</v>
      </c>
      <c r="M156" t="s">
        <v>1071</v>
      </c>
      <c r="P156" s="1"/>
      <c r="R156" s="2"/>
      <c r="AA156" s="6"/>
      <c r="AH156" s="6"/>
    </row>
    <row r="157" spans="1:34" x14ac:dyDescent="0.25">
      <c r="A157" t="s">
        <v>538</v>
      </c>
      <c r="B157" t="s">
        <v>539</v>
      </c>
      <c r="C157" t="s">
        <v>1076</v>
      </c>
      <c r="D157" s="1">
        <v>45576</v>
      </c>
      <c r="E157">
        <v>10</v>
      </c>
      <c r="F157">
        <v>11</v>
      </c>
      <c r="G157">
        <v>2024</v>
      </c>
      <c r="H157">
        <v>285</v>
      </c>
      <c r="I157">
        <v>-71.989999999999995</v>
      </c>
      <c r="J157">
        <v>170.59</v>
      </c>
      <c r="K157" s="6">
        <v>27025.461131918699</v>
      </c>
      <c r="L157" s="6">
        <v>2291.10923126333</v>
      </c>
      <c r="M157" t="s">
        <v>1071</v>
      </c>
      <c r="N157" s="1"/>
      <c r="P157" s="2"/>
    </row>
    <row r="158" spans="1:34" x14ac:dyDescent="0.25">
      <c r="A158" t="s">
        <v>623</v>
      </c>
      <c r="B158" t="s">
        <v>624</v>
      </c>
      <c r="C158" t="s">
        <v>1076</v>
      </c>
      <c r="D158" s="1">
        <v>45592</v>
      </c>
      <c r="E158">
        <v>10</v>
      </c>
      <c r="F158">
        <v>27</v>
      </c>
      <c r="G158">
        <v>2024</v>
      </c>
      <c r="H158">
        <v>301</v>
      </c>
      <c r="I158">
        <v>-74.64</v>
      </c>
      <c r="J158">
        <v>165.37</v>
      </c>
      <c r="K158" s="6">
        <v>46595.072714885602</v>
      </c>
      <c r="L158" s="6">
        <v>3317.9884023903001</v>
      </c>
      <c r="M158" t="s">
        <v>1071</v>
      </c>
    </row>
    <row r="159" spans="1:34" x14ac:dyDescent="0.25">
      <c r="A159" t="s">
        <v>623</v>
      </c>
      <c r="B159" t="s">
        <v>624</v>
      </c>
      <c r="C159" t="s">
        <v>1076</v>
      </c>
      <c r="D159" s="1">
        <v>45962</v>
      </c>
      <c r="E159">
        <v>11</v>
      </c>
      <c r="F159">
        <v>1</v>
      </c>
      <c r="G159">
        <v>2025</v>
      </c>
      <c r="H159">
        <v>305</v>
      </c>
      <c r="I159">
        <v>-74.64</v>
      </c>
      <c r="J159">
        <v>165.37</v>
      </c>
      <c r="K159" s="6">
        <v>31907.045011811399</v>
      </c>
      <c r="L159" s="6">
        <v>2685.7328438259501</v>
      </c>
      <c r="M159" t="s">
        <v>1071</v>
      </c>
    </row>
    <row r="161" spans="5:16" x14ac:dyDescent="0.25">
      <c r="E161" s="1"/>
      <c r="F161" s="3"/>
      <c r="K161" s="2"/>
      <c r="L161" s="1"/>
      <c r="N161" s="2"/>
    </row>
    <row r="162" spans="5:16" x14ac:dyDescent="0.25">
      <c r="E162" s="1"/>
      <c r="F162" s="3"/>
      <c r="K162" s="2"/>
      <c r="L162" s="1"/>
      <c r="N162" s="2"/>
    </row>
    <row r="165" spans="5:16" x14ac:dyDescent="0.25">
      <c r="G165" s="3"/>
      <c r="M165" s="2"/>
      <c r="N165" s="1"/>
      <c r="P165" s="2"/>
    </row>
    <row r="166" spans="5:16" x14ac:dyDescent="0.25">
      <c r="G166" s="3"/>
      <c r="M166" s="2"/>
      <c r="N166" s="1"/>
      <c r="P166" s="2"/>
    </row>
  </sheetData>
  <autoFilter ref="A1:AU1" xr:uid="{7B1A0D2B-4DC1-4917-B8F0-45E72FC1BE7E}">
    <sortState xmlns:xlrd2="http://schemas.microsoft.com/office/spreadsheetml/2017/richdata2" ref="A2:AU158">
      <sortCondition ref="M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D8AF-BDDE-4FC1-A6C6-5F6A2F023464}">
  <dimension ref="A1:AV278"/>
  <sheetViews>
    <sheetView topLeftCell="AD1" workbookViewId="0">
      <selection activeCell="AU14" sqref="AU14"/>
    </sheetView>
  </sheetViews>
  <sheetFormatPr defaultRowHeight="15" x14ac:dyDescent="0.25"/>
  <cols>
    <col min="40" max="40" width="13.140625" style="6" customWidth="1"/>
    <col min="47" max="47" width="15.28515625" style="6" customWidth="1"/>
  </cols>
  <sheetData>
    <row r="1" spans="1:48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1048</v>
      </c>
      <c r="O1" t="s">
        <v>1082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s="6" t="s">
        <v>105</v>
      </c>
      <c r="AO1" t="s">
        <v>106</v>
      </c>
      <c r="AP1" t="s">
        <v>107</v>
      </c>
      <c r="AQ1" t="s">
        <v>109</v>
      </c>
      <c r="AR1" t="s">
        <v>108</v>
      </c>
      <c r="AS1" t="s">
        <v>897</v>
      </c>
      <c r="AT1" t="s">
        <v>898</v>
      </c>
      <c r="AU1" s="6" t="s">
        <v>899</v>
      </c>
      <c r="AV1" t="s">
        <v>110</v>
      </c>
    </row>
    <row r="2" spans="1:48" x14ac:dyDescent="0.25">
      <c r="A2" t="s">
        <v>0</v>
      </c>
      <c r="B2" t="s">
        <v>1</v>
      </c>
      <c r="C2">
        <v>1</v>
      </c>
      <c r="D2" t="s">
        <v>2</v>
      </c>
      <c r="E2" s="1">
        <v>45771</v>
      </c>
      <c r="F2">
        <v>4</v>
      </c>
      <c r="G2">
        <v>24</v>
      </c>
      <c r="H2">
        <v>2025</v>
      </c>
      <c r="I2">
        <v>114</v>
      </c>
      <c r="J2">
        <v>-76.932184000000007</v>
      </c>
      <c r="K2">
        <v>166.94161800000001</v>
      </c>
      <c r="L2">
        <v>1418</v>
      </c>
      <c r="P2">
        <v>1</v>
      </c>
      <c r="Q2">
        <v>49.341439530000002</v>
      </c>
      <c r="R2">
        <v>40.658560469999998</v>
      </c>
      <c r="S2">
        <v>85.371142759999998</v>
      </c>
      <c r="T2">
        <v>0.25</v>
      </c>
      <c r="U2">
        <v>2</v>
      </c>
      <c r="V2" t="s">
        <v>3</v>
      </c>
      <c r="W2" t="s">
        <v>4</v>
      </c>
      <c r="X2">
        <v>630049.46030000004</v>
      </c>
      <c r="Y2" t="s">
        <v>5</v>
      </c>
      <c r="Z2">
        <v>1</v>
      </c>
      <c r="AA2" s="2">
        <v>45771.470138888886</v>
      </c>
      <c r="AB2" s="3">
        <v>0.47031250000000002</v>
      </c>
      <c r="AC2" t="s">
        <v>6</v>
      </c>
      <c r="AD2" s="1">
        <v>45771</v>
      </c>
      <c r="AE2" s="2">
        <v>45771.470138888886</v>
      </c>
      <c r="AF2">
        <v>3.6136295795440598</v>
      </c>
      <c r="AG2">
        <v>254.16360473632801</v>
      </c>
      <c r="AH2">
        <v>99.525822145778406</v>
      </c>
      <c r="AI2">
        <v>0</v>
      </c>
      <c r="AJ2">
        <v>252.00329589843699</v>
      </c>
      <c r="AK2">
        <v>82.893532593371702</v>
      </c>
      <c r="AL2">
        <v>99.525822145778406</v>
      </c>
      <c r="AM2">
        <v>6.3243470871124003</v>
      </c>
      <c r="AO2">
        <v>5.5922873826033799</v>
      </c>
      <c r="AP2">
        <v>7.0587760662847003</v>
      </c>
      <c r="AV2">
        <v>-66.310386017578594</v>
      </c>
    </row>
    <row r="3" spans="1:48" x14ac:dyDescent="0.25">
      <c r="A3" t="s">
        <v>0</v>
      </c>
      <c r="B3" t="s">
        <v>1</v>
      </c>
      <c r="C3">
        <v>1</v>
      </c>
      <c r="D3" t="s">
        <v>13</v>
      </c>
      <c r="E3" s="1">
        <v>45799</v>
      </c>
      <c r="F3">
        <v>5</v>
      </c>
      <c r="G3">
        <v>22</v>
      </c>
      <c r="H3">
        <v>2025</v>
      </c>
      <c r="I3">
        <v>142</v>
      </c>
      <c r="J3">
        <v>-76.932184000000007</v>
      </c>
      <c r="K3">
        <v>166.94161800000001</v>
      </c>
      <c r="L3">
        <v>1418</v>
      </c>
      <c r="P3">
        <v>1</v>
      </c>
      <c r="Q3">
        <v>50.873471340000002</v>
      </c>
      <c r="R3">
        <v>39.126528659999998</v>
      </c>
      <c r="S3">
        <v>97.924561490000002</v>
      </c>
      <c r="T3">
        <v>0.25</v>
      </c>
      <c r="U3">
        <v>2</v>
      </c>
      <c r="V3" t="s">
        <v>3</v>
      </c>
      <c r="W3" t="s">
        <v>4</v>
      </c>
      <c r="X3">
        <v>603301.15110000002</v>
      </c>
      <c r="Y3" t="s">
        <v>5</v>
      </c>
      <c r="Z3">
        <v>1</v>
      </c>
      <c r="AA3" s="2">
        <v>45799.478472222225</v>
      </c>
      <c r="AB3" s="3">
        <v>0.47850694444444447</v>
      </c>
      <c r="AC3" t="s">
        <v>14</v>
      </c>
      <c r="AD3" s="1">
        <v>45799</v>
      </c>
      <c r="AE3" s="2">
        <v>45799.478472222225</v>
      </c>
      <c r="AF3">
        <v>3.0136325359344398</v>
      </c>
      <c r="AG3">
        <v>252.53759769999999</v>
      </c>
      <c r="AH3">
        <v>82.155067047859902</v>
      </c>
      <c r="AI3">
        <v>0</v>
      </c>
      <c r="AJ3">
        <v>248.10469055175699</v>
      </c>
      <c r="AK3">
        <v>67.368600750769701</v>
      </c>
      <c r="AL3">
        <v>82.155067047859902</v>
      </c>
      <c r="AM3">
        <v>5.8265147306911897</v>
      </c>
      <c r="AO3">
        <v>5.1981965393199898</v>
      </c>
      <c r="AP3">
        <v>6.4664299426474301</v>
      </c>
      <c r="AV3">
        <v>-59.779701419349998</v>
      </c>
    </row>
    <row r="4" spans="1:48" x14ac:dyDescent="0.25">
      <c r="A4" t="s">
        <v>0</v>
      </c>
      <c r="B4" t="s">
        <v>1</v>
      </c>
      <c r="C4">
        <v>1</v>
      </c>
      <c r="D4" t="s">
        <v>22</v>
      </c>
      <c r="E4" s="1">
        <v>45822</v>
      </c>
      <c r="F4">
        <v>6</v>
      </c>
      <c r="G4">
        <v>14</v>
      </c>
      <c r="H4">
        <v>2025</v>
      </c>
      <c r="I4">
        <v>165</v>
      </c>
      <c r="J4">
        <v>-76.932184000000007</v>
      </c>
      <c r="K4">
        <v>166.94161800000001</v>
      </c>
      <c r="L4">
        <v>1418</v>
      </c>
      <c r="M4">
        <v>125.141229</v>
      </c>
      <c r="N4" t="s">
        <v>919</v>
      </c>
      <c r="P4">
        <v>2</v>
      </c>
      <c r="Q4">
        <v>52.597164720000002</v>
      </c>
      <c r="R4">
        <v>37.402835279999998</v>
      </c>
      <c r="S4">
        <v>329.75726630000003</v>
      </c>
      <c r="T4">
        <v>0.25</v>
      </c>
      <c r="U4">
        <v>2</v>
      </c>
      <c r="V4" t="s">
        <v>23</v>
      </c>
      <c r="W4" t="s">
        <v>24</v>
      </c>
      <c r="X4">
        <v>605120.88910000003</v>
      </c>
      <c r="Y4" t="s">
        <v>5</v>
      </c>
      <c r="Z4">
        <v>2</v>
      </c>
      <c r="AA4" s="2">
        <v>45822.913888888892</v>
      </c>
      <c r="AB4" s="3">
        <v>0.91446759259259258</v>
      </c>
      <c r="AC4" t="s">
        <v>25</v>
      </c>
      <c r="AD4" s="1">
        <v>45822</v>
      </c>
      <c r="AE4" s="2">
        <v>45822.913888888892</v>
      </c>
      <c r="AF4">
        <v>3.2314565181732098</v>
      </c>
      <c r="AG4">
        <v>263.85739135742102</v>
      </c>
      <c r="AH4">
        <v>82.528653563661607</v>
      </c>
      <c r="AI4">
        <v>0</v>
      </c>
      <c r="AJ4">
        <v>260.34054565429602</v>
      </c>
      <c r="AK4">
        <v>75.459318576586597</v>
      </c>
      <c r="AL4">
        <v>82.528653563661607</v>
      </c>
      <c r="AM4">
        <v>5.0464246609532797</v>
      </c>
      <c r="AN4" s="6">
        <v>631.51578412760205</v>
      </c>
      <c r="AO4">
        <v>4.5572840229784504</v>
      </c>
      <c r="AP4">
        <v>5.55282626965161</v>
      </c>
      <c r="AQ4">
        <v>570.304123537588</v>
      </c>
      <c r="AR4">
        <v>694.88750380768795</v>
      </c>
      <c r="AS4">
        <v>570.304123537588</v>
      </c>
      <c r="AT4">
        <v>694.88750380768795</v>
      </c>
      <c r="AU4" s="6">
        <v>62.291690135050104</v>
      </c>
      <c r="AV4">
        <v>-49.322717479589002</v>
      </c>
    </row>
    <row r="5" spans="1:48" x14ac:dyDescent="0.25">
      <c r="A5" t="s">
        <v>0</v>
      </c>
      <c r="B5" t="s">
        <v>1</v>
      </c>
      <c r="C5">
        <v>1</v>
      </c>
      <c r="D5" t="s">
        <v>37</v>
      </c>
      <c r="E5" s="1">
        <v>45838</v>
      </c>
      <c r="F5">
        <v>6</v>
      </c>
      <c r="G5">
        <v>30</v>
      </c>
      <c r="H5">
        <v>2025</v>
      </c>
      <c r="I5">
        <v>181</v>
      </c>
      <c r="J5">
        <v>-76.932184000000007</v>
      </c>
      <c r="K5">
        <v>166.94161800000001</v>
      </c>
      <c r="L5">
        <v>1418</v>
      </c>
      <c r="P5">
        <v>1</v>
      </c>
      <c r="Q5">
        <v>55.26661945</v>
      </c>
      <c r="R5">
        <v>34.73338055</v>
      </c>
      <c r="S5">
        <v>101.2542365</v>
      </c>
      <c r="T5">
        <v>0.25</v>
      </c>
      <c r="U5">
        <v>2</v>
      </c>
      <c r="V5" t="s">
        <v>3</v>
      </c>
      <c r="W5" t="s">
        <v>24</v>
      </c>
      <c r="X5">
        <v>568110.47499999998</v>
      </c>
      <c r="Y5" t="s">
        <v>5</v>
      </c>
      <c r="Z5">
        <v>1</v>
      </c>
      <c r="AA5" s="2">
        <v>45838.487500000003</v>
      </c>
      <c r="AB5" s="3">
        <v>0.48810185185185184</v>
      </c>
      <c r="AC5" t="s">
        <v>38</v>
      </c>
      <c r="AD5" s="1">
        <v>45838</v>
      </c>
      <c r="AE5" s="2">
        <v>45838.487500000003</v>
      </c>
      <c r="AF5">
        <v>3.6694784164428702</v>
      </c>
      <c r="AG5">
        <v>253.05847167968699</v>
      </c>
      <c r="AH5">
        <v>103.41167587409601</v>
      </c>
      <c r="AI5">
        <v>0</v>
      </c>
      <c r="AJ5">
        <v>251.233139038085</v>
      </c>
      <c r="AK5">
        <v>85.223052307644494</v>
      </c>
      <c r="AL5">
        <v>103.41167587409601</v>
      </c>
      <c r="AM5">
        <v>6.5283017083659196</v>
      </c>
      <c r="AO5">
        <v>5.7581758478098699</v>
      </c>
      <c r="AP5">
        <v>7.2951745855904697</v>
      </c>
      <c r="AV5">
        <v>-68.977289483647695</v>
      </c>
    </row>
    <row r="6" spans="1:48" x14ac:dyDescent="0.25">
      <c r="A6" t="s">
        <v>0</v>
      </c>
      <c r="B6" t="s">
        <v>1</v>
      </c>
      <c r="C6">
        <v>1</v>
      </c>
      <c r="D6" t="s">
        <v>47</v>
      </c>
      <c r="E6" s="1">
        <v>45847</v>
      </c>
      <c r="F6">
        <v>7</v>
      </c>
      <c r="G6">
        <v>9</v>
      </c>
      <c r="H6">
        <v>2025</v>
      </c>
      <c r="I6">
        <v>190</v>
      </c>
      <c r="J6">
        <v>-76.932184000000007</v>
      </c>
      <c r="K6">
        <v>166.94161800000001</v>
      </c>
      <c r="L6">
        <v>1418</v>
      </c>
      <c r="M6">
        <v>94.547060000000002</v>
      </c>
      <c r="N6" t="s">
        <v>932</v>
      </c>
      <c r="P6">
        <v>2</v>
      </c>
      <c r="Q6">
        <v>50.580319279999998</v>
      </c>
      <c r="R6">
        <v>39.419680720000002</v>
      </c>
      <c r="S6">
        <v>123.6597115</v>
      </c>
      <c r="T6">
        <v>0.25</v>
      </c>
      <c r="U6">
        <v>2</v>
      </c>
      <c r="V6" t="s">
        <v>23</v>
      </c>
      <c r="W6" t="s">
        <v>4</v>
      </c>
      <c r="X6">
        <v>729239.88359999994</v>
      </c>
      <c r="Y6" t="s">
        <v>5</v>
      </c>
      <c r="Z6">
        <v>2</v>
      </c>
      <c r="AA6" s="2">
        <v>45847.824305555558</v>
      </c>
      <c r="AB6" s="3">
        <v>0.82436342592592593</v>
      </c>
      <c r="AC6" t="s">
        <v>48</v>
      </c>
      <c r="AD6" s="1">
        <v>45847</v>
      </c>
      <c r="AE6" s="2">
        <v>45847.824305555558</v>
      </c>
      <c r="AF6">
        <v>1.1532632112503001</v>
      </c>
      <c r="AG6">
        <v>250.17575073242099</v>
      </c>
      <c r="AH6">
        <v>98.265509608309003</v>
      </c>
      <c r="AI6">
        <v>0</v>
      </c>
      <c r="AJ6">
        <v>247.53570556640599</v>
      </c>
      <c r="AK6">
        <v>78.783154645983103</v>
      </c>
      <c r="AL6">
        <v>98.265509608309003</v>
      </c>
      <c r="AM6">
        <v>5.9647711482751404</v>
      </c>
      <c r="AN6" s="6">
        <v>563.95157564223803</v>
      </c>
      <c r="AO6">
        <v>5.2593618524166601</v>
      </c>
      <c r="AP6">
        <v>6.6812949151793797</v>
      </c>
      <c r="AQ6">
        <v>497.25720062214901</v>
      </c>
      <c r="AR6">
        <v>631.69679122315995</v>
      </c>
      <c r="AS6">
        <v>497.25720062214901</v>
      </c>
      <c r="AT6">
        <v>631.69679122315995</v>
      </c>
      <c r="AU6" s="6">
        <v>67.219795300505297</v>
      </c>
      <c r="AV6">
        <v>-61.599379032792797</v>
      </c>
    </row>
    <row r="7" spans="1:48" x14ac:dyDescent="0.25">
      <c r="A7" t="s">
        <v>0</v>
      </c>
      <c r="B7" t="s">
        <v>1</v>
      </c>
      <c r="C7">
        <v>1</v>
      </c>
      <c r="D7" t="s">
        <v>59</v>
      </c>
      <c r="E7" s="1">
        <v>45890</v>
      </c>
      <c r="F7">
        <v>8</v>
      </c>
      <c r="G7">
        <v>21</v>
      </c>
      <c r="H7">
        <v>2025</v>
      </c>
      <c r="I7">
        <v>233</v>
      </c>
      <c r="J7">
        <v>-76.932184000000007</v>
      </c>
      <c r="K7">
        <v>166.94161800000001</v>
      </c>
      <c r="L7">
        <v>1418</v>
      </c>
      <c r="P7">
        <v>1</v>
      </c>
      <c r="Q7">
        <v>53.694509979999999</v>
      </c>
      <c r="R7">
        <v>36.305490020000001</v>
      </c>
      <c r="S7">
        <v>101.6830566</v>
      </c>
      <c r="T7">
        <v>0.25</v>
      </c>
      <c r="U7">
        <v>2</v>
      </c>
      <c r="V7" t="s">
        <v>3</v>
      </c>
      <c r="W7" t="s">
        <v>4</v>
      </c>
      <c r="X7">
        <v>553227.59239999996</v>
      </c>
      <c r="Y7" t="s">
        <v>5</v>
      </c>
      <c r="Z7">
        <v>1</v>
      </c>
      <c r="AA7" s="2">
        <v>45890.490972222222</v>
      </c>
      <c r="AB7" s="3">
        <v>0.49131944444444442</v>
      </c>
      <c r="AC7" t="s">
        <v>60</v>
      </c>
      <c r="AD7" s="1">
        <v>45890</v>
      </c>
      <c r="AE7" s="2">
        <v>45890.490972222222</v>
      </c>
      <c r="AF7">
        <v>2.0596780776977499</v>
      </c>
      <c r="AG7">
        <v>248.57920837402301</v>
      </c>
      <c r="AH7">
        <v>102.044468876732</v>
      </c>
      <c r="AI7">
        <v>0</v>
      </c>
      <c r="AJ7">
        <v>246.22137451171801</v>
      </c>
      <c r="AK7">
        <v>80.580111083643899</v>
      </c>
      <c r="AL7">
        <v>102.044468876732</v>
      </c>
      <c r="AM7">
        <v>6.4209119690229697</v>
      </c>
      <c r="AO7">
        <v>5.6469776826850504</v>
      </c>
      <c r="AP7">
        <v>7.19467428220036</v>
      </c>
      <c r="AV7">
        <v>-67.573033656972399</v>
      </c>
    </row>
    <row r="8" spans="1:48" x14ac:dyDescent="0.25">
      <c r="A8" t="s">
        <v>111</v>
      </c>
      <c r="B8" t="s">
        <v>112</v>
      </c>
      <c r="C8">
        <v>1</v>
      </c>
      <c r="D8" t="s">
        <v>113</v>
      </c>
      <c r="E8" s="1">
        <v>45770</v>
      </c>
      <c r="F8">
        <v>4</v>
      </c>
      <c r="G8">
        <v>23</v>
      </c>
      <c r="H8">
        <v>2025</v>
      </c>
      <c r="I8">
        <v>113</v>
      </c>
      <c r="J8">
        <v>-77.151399999999995</v>
      </c>
      <c r="K8">
        <v>-157.58410000000001</v>
      </c>
      <c r="L8">
        <v>22337</v>
      </c>
      <c r="M8">
        <v>7329.2536579999996</v>
      </c>
      <c r="N8" t="s">
        <v>919</v>
      </c>
      <c r="P8">
        <v>3</v>
      </c>
      <c r="Q8">
        <v>51.621865919999998</v>
      </c>
      <c r="R8">
        <v>38.378134080000002</v>
      </c>
      <c r="S8">
        <v>105.75</v>
      </c>
      <c r="T8">
        <v>0.25</v>
      </c>
      <c r="U8">
        <v>2</v>
      </c>
      <c r="V8" t="s">
        <v>23</v>
      </c>
      <c r="W8" t="s">
        <v>4</v>
      </c>
      <c r="X8">
        <v>613285.23490000004</v>
      </c>
      <c r="Y8" t="s">
        <v>114</v>
      </c>
      <c r="Z8">
        <v>3</v>
      </c>
      <c r="AA8" s="2">
        <v>45770.683333333334</v>
      </c>
      <c r="AB8" s="3">
        <v>0.68390046296296292</v>
      </c>
      <c r="AC8" t="s">
        <v>115</v>
      </c>
      <c r="AD8" s="1">
        <v>45770</v>
      </c>
      <c r="AE8" s="2">
        <v>45770.683333333334</v>
      </c>
      <c r="AF8">
        <v>2.4200694561004599</v>
      </c>
      <c r="AG8">
        <v>251.36387634277301</v>
      </c>
      <c r="AH8">
        <v>72.018677059824697</v>
      </c>
      <c r="AI8">
        <v>0</v>
      </c>
      <c r="AJ8">
        <v>245.435455322265</v>
      </c>
      <c r="AK8">
        <v>58.3979680882819</v>
      </c>
      <c r="AL8">
        <v>72.018677059824697</v>
      </c>
      <c r="AM8">
        <v>5.4945294217383402</v>
      </c>
      <c r="AN8" s="6">
        <v>40270.799863264299</v>
      </c>
      <c r="AO8">
        <v>4.9323688253931799</v>
      </c>
      <c r="AP8">
        <v>6.0715049715669203</v>
      </c>
      <c r="AQ8">
        <v>36150.582256118098</v>
      </c>
      <c r="AR8">
        <v>44499.600022421997</v>
      </c>
      <c r="AS8">
        <v>36150.582256118098</v>
      </c>
      <c r="AT8">
        <v>44499.600022421997</v>
      </c>
      <c r="AU8" s="6">
        <v>4174.5088831519297</v>
      </c>
      <c r="AV8">
        <v>-55.377115388751498</v>
      </c>
    </row>
    <row r="9" spans="1:48" x14ac:dyDescent="0.25">
      <c r="A9" t="s">
        <v>111</v>
      </c>
      <c r="B9" t="s">
        <v>112</v>
      </c>
      <c r="C9">
        <v>1</v>
      </c>
      <c r="D9" t="s">
        <v>127</v>
      </c>
      <c r="E9" s="1">
        <v>45790</v>
      </c>
      <c r="F9">
        <v>5</v>
      </c>
      <c r="G9">
        <v>13</v>
      </c>
      <c r="H9">
        <v>2025</v>
      </c>
      <c r="I9">
        <v>133</v>
      </c>
      <c r="J9">
        <v>-77.151399999999995</v>
      </c>
      <c r="K9">
        <v>-157.58410000000001</v>
      </c>
      <c r="L9">
        <v>22337</v>
      </c>
      <c r="M9">
        <v>4911.599862</v>
      </c>
      <c r="N9" t="s">
        <v>919</v>
      </c>
      <c r="P9">
        <v>5</v>
      </c>
      <c r="Q9">
        <v>51.988082560000002</v>
      </c>
      <c r="R9">
        <v>38.011917439999998</v>
      </c>
      <c r="S9">
        <v>105.20429230000001</v>
      </c>
      <c r="T9">
        <v>0.25</v>
      </c>
      <c r="U9">
        <v>2</v>
      </c>
      <c r="V9" t="s">
        <v>23</v>
      </c>
      <c r="W9" t="s">
        <v>4</v>
      </c>
      <c r="X9">
        <v>598414.74659999995</v>
      </c>
      <c r="Y9" t="s">
        <v>114</v>
      </c>
      <c r="Z9">
        <v>5</v>
      </c>
      <c r="AA9" s="2">
        <v>45790.686111111114</v>
      </c>
      <c r="AB9" s="3">
        <v>0.68641203703703701</v>
      </c>
      <c r="AC9" t="s">
        <v>128</v>
      </c>
      <c r="AD9" s="1">
        <v>45790</v>
      </c>
      <c r="AE9" s="2">
        <v>45790.686111111114</v>
      </c>
      <c r="AF9">
        <v>8.8427133560180593</v>
      </c>
      <c r="AG9">
        <v>252.02185058593699</v>
      </c>
      <c r="AH9">
        <v>67.188459684847004</v>
      </c>
      <c r="AI9">
        <v>0</v>
      </c>
      <c r="AJ9">
        <v>245.37908935546801</v>
      </c>
      <c r="AK9">
        <v>54.824733238920601</v>
      </c>
      <c r="AL9">
        <v>67.188459684847004</v>
      </c>
      <c r="AM9">
        <v>6.9536335963134599</v>
      </c>
      <c r="AN9" s="6">
        <v>34153.465812051698</v>
      </c>
      <c r="AO9">
        <v>6.2595317378753901</v>
      </c>
      <c r="AP9">
        <v>7.6352624501230801</v>
      </c>
      <c r="AQ9">
        <v>30744.3152199334</v>
      </c>
      <c r="AR9">
        <v>37501.353996358303</v>
      </c>
      <c r="AS9">
        <v>30744.3152199334</v>
      </c>
      <c r="AT9">
        <v>37501.353996358303</v>
      </c>
      <c r="AU9" s="6">
        <v>3378.5193882124499</v>
      </c>
      <c r="AV9">
        <v>-74.554894621714396</v>
      </c>
    </row>
    <row r="10" spans="1:48" x14ac:dyDescent="0.25">
      <c r="A10" t="s">
        <v>111</v>
      </c>
      <c r="B10" t="s">
        <v>112</v>
      </c>
      <c r="C10">
        <v>1</v>
      </c>
      <c r="D10" t="s">
        <v>140</v>
      </c>
      <c r="E10" s="1">
        <v>45799</v>
      </c>
      <c r="F10">
        <v>5</v>
      </c>
      <c r="G10">
        <v>22</v>
      </c>
      <c r="H10">
        <v>2025</v>
      </c>
      <c r="I10">
        <v>142</v>
      </c>
      <c r="J10">
        <v>-77.151399999999995</v>
      </c>
      <c r="K10">
        <v>-157.58410000000001</v>
      </c>
      <c r="L10">
        <v>22337</v>
      </c>
      <c r="N10" t="s">
        <v>919</v>
      </c>
      <c r="O10" t="s">
        <v>1084</v>
      </c>
      <c r="P10">
        <v>2</v>
      </c>
      <c r="Q10">
        <v>55.203898709999997</v>
      </c>
      <c r="R10">
        <v>34.796101290000003</v>
      </c>
      <c r="S10">
        <v>329.94617110000002</v>
      </c>
      <c r="T10">
        <v>0.25</v>
      </c>
      <c r="U10">
        <v>2</v>
      </c>
      <c r="V10" t="s">
        <v>23</v>
      </c>
      <c r="W10" t="s">
        <v>24</v>
      </c>
      <c r="X10">
        <v>691414.45169999998</v>
      </c>
      <c r="Y10" t="s">
        <v>114</v>
      </c>
      <c r="Z10">
        <v>5</v>
      </c>
      <c r="AA10" s="2">
        <v>45799.822916666664</v>
      </c>
      <c r="AB10" s="3">
        <v>0.82310185185185181</v>
      </c>
      <c r="AC10" t="s">
        <v>141</v>
      </c>
      <c r="AD10" s="1">
        <v>45799</v>
      </c>
      <c r="AE10" s="2">
        <v>45799.822916666664</v>
      </c>
      <c r="AF10">
        <v>10.282166481018001</v>
      </c>
      <c r="AG10">
        <v>258.38973999023398</v>
      </c>
      <c r="AH10">
        <v>81.376543182779798</v>
      </c>
      <c r="AI10">
        <v>0</v>
      </c>
      <c r="AJ10">
        <v>254.25842285156199</v>
      </c>
      <c r="AK10">
        <v>70.585980367569704</v>
      </c>
      <c r="AL10">
        <v>81.376543182779798</v>
      </c>
      <c r="AM10">
        <v>7.2167721344723699</v>
      </c>
      <c r="AO10">
        <v>6.4823699513575699</v>
      </c>
      <c r="AP10">
        <v>7.9304277687045497</v>
      </c>
      <c r="AV10">
        <v>-78.033865937812394</v>
      </c>
    </row>
    <row r="11" spans="1:48" x14ac:dyDescent="0.25">
      <c r="A11" t="s">
        <v>111</v>
      </c>
      <c r="B11" t="s">
        <v>112</v>
      </c>
      <c r="C11">
        <v>1</v>
      </c>
      <c r="D11" t="s">
        <v>151</v>
      </c>
      <c r="E11" s="1">
        <v>45813</v>
      </c>
      <c r="F11">
        <v>6</v>
      </c>
      <c r="G11">
        <v>5</v>
      </c>
      <c r="H11">
        <v>2025</v>
      </c>
      <c r="I11">
        <v>156</v>
      </c>
      <c r="J11">
        <v>-77.151399999999995</v>
      </c>
      <c r="K11">
        <v>-157.58410000000001</v>
      </c>
      <c r="L11">
        <v>22337</v>
      </c>
      <c r="M11">
        <v>4918.7996419999999</v>
      </c>
      <c r="N11" t="s">
        <v>919</v>
      </c>
      <c r="P11">
        <v>5</v>
      </c>
      <c r="Q11">
        <v>51.530959989999999</v>
      </c>
      <c r="R11">
        <v>38.469040010000001</v>
      </c>
      <c r="S11">
        <v>186.34292249999999</v>
      </c>
      <c r="T11">
        <v>0.25</v>
      </c>
      <c r="U11">
        <v>2</v>
      </c>
      <c r="V11" t="s">
        <v>3</v>
      </c>
      <c r="W11" t="s">
        <v>4</v>
      </c>
      <c r="X11">
        <v>595509.62439999997</v>
      </c>
      <c r="Y11" t="s">
        <v>114</v>
      </c>
      <c r="Z11">
        <v>5</v>
      </c>
      <c r="AA11" s="2">
        <v>45813.465277777781</v>
      </c>
      <c r="AB11" s="3">
        <v>0.46545138888888887</v>
      </c>
      <c r="AC11" t="s">
        <v>152</v>
      </c>
      <c r="AD11" s="1">
        <v>45813</v>
      </c>
      <c r="AE11" s="2">
        <v>45813.465277777781</v>
      </c>
      <c r="AF11">
        <v>3.4934349060058598</v>
      </c>
      <c r="AG11">
        <v>249.00230407714801</v>
      </c>
      <c r="AH11">
        <v>90.1432364782207</v>
      </c>
      <c r="AI11">
        <v>0</v>
      </c>
      <c r="AJ11">
        <v>245.34223937988199</v>
      </c>
      <c r="AK11">
        <v>71.468856661199695</v>
      </c>
      <c r="AL11">
        <v>90.1432364782207</v>
      </c>
      <c r="AM11">
        <v>6.43443718351761</v>
      </c>
      <c r="AN11" s="6">
        <v>31649.707314757899</v>
      </c>
      <c r="AO11">
        <v>5.6997159493946503</v>
      </c>
      <c r="AP11">
        <v>7.1686489100435198</v>
      </c>
      <c r="AQ11">
        <v>28035.760771384099</v>
      </c>
      <c r="AR11">
        <v>35261.147692345701</v>
      </c>
      <c r="AS11">
        <v>28035.760771384099</v>
      </c>
      <c r="AT11">
        <v>35261.147692345701</v>
      </c>
      <c r="AU11" s="6">
        <v>3612.6934604808398</v>
      </c>
      <c r="AV11">
        <v>-67.749874192891298</v>
      </c>
    </row>
    <row r="12" spans="1:48" x14ac:dyDescent="0.25">
      <c r="A12" t="s">
        <v>111</v>
      </c>
      <c r="B12" t="s">
        <v>112</v>
      </c>
      <c r="C12">
        <v>1</v>
      </c>
      <c r="D12" t="s">
        <v>163</v>
      </c>
      <c r="E12" s="1">
        <v>45821</v>
      </c>
      <c r="F12">
        <v>6</v>
      </c>
      <c r="G12">
        <v>13</v>
      </c>
      <c r="H12">
        <v>2025</v>
      </c>
      <c r="I12">
        <v>164</v>
      </c>
      <c r="J12">
        <v>-77.151399999999995</v>
      </c>
      <c r="K12">
        <v>-157.58410000000001</v>
      </c>
      <c r="L12">
        <v>22337</v>
      </c>
      <c r="M12">
        <v>4211.869565</v>
      </c>
      <c r="N12" t="s">
        <v>919</v>
      </c>
      <c r="P12">
        <v>5</v>
      </c>
      <c r="Q12">
        <v>51.008530630000003</v>
      </c>
      <c r="R12">
        <v>38.991469369999997</v>
      </c>
      <c r="S12">
        <v>321.34728790000003</v>
      </c>
      <c r="T12">
        <v>0.25</v>
      </c>
      <c r="U12">
        <v>2</v>
      </c>
      <c r="V12" t="s">
        <v>23</v>
      </c>
      <c r="W12" t="s">
        <v>4</v>
      </c>
      <c r="X12">
        <v>725884.6727</v>
      </c>
      <c r="Y12" t="s">
        <v>114</v>
      </c>
      <c r="Z12">
        <v>5</v>
      </c>
      <c r="AA12" s="2">
        <v>45821.831944444442</v>
      </c>
      <c r="AB12" s="3">
        <v>0.83230324074074069</v>
      </c>
      <c r="AC12" t="s">
        <v>164</v>
      </c>
      <c r="AD12" s="1">
        <v>45821</v>
      </c>
      <c r="AE12" s="2">
        <v>45821.831944444442</v>
      </c>
      <c r="AF12">
        <v>7.0196514129638601</v>
      </c>
      <c r="AG12">
        <v>262.52319340000003</v>
      </c>
      <c r="AH12">
        <v>62.5098028952116</v>
      </c>
      <c r="AI12">
        <v>0</v>
      </c>
      <c r="AJ12">
        <v>255.56852722167901</v>
      </c>
      <c r="AK12">
        <v>56.42442372</v>
      </c>
      <c r="AL12">
        <v>62.5098028952116</v>
      </c>
      <c r="AM12">
        <v>5.5625204742280197</v>
      </c>
      <c r="AN12" s="6">
        <v>23428.610690090401</v>
      </c>
      <c r="AO12">
        <v>5.0680554810511298</v>
      </c>
      <c r="AP12">
        <v>6.0675168029593101</v>
      </c>
      <c r="AQ12">
        <v>21345.9886343707</v>
      </c>
      <c r="AR12">
        <v>25555.589357510398</v>
      </c>
      <c r="AS12">
        <v>21345.9886343707</v>
      </c>
      <c r="AT12">
        <v>25555.589357510398</v>
      </c>
      <c r="AU12" s="6">
        <v>2104.8003615698599</v>
      </c>
      <c r="AV12">
        <v>-56.283401925457802</v>
      </c>
    </row>
    <row r="13" spans="1:48" x14ac:dyDescent="0.25">
      <c r="A13" t="s">
        <v>111</v>
      </c>
      <c r="B13" t="s">
        <v>112</v>
      </c>
      <c r="C13">
        <v>1</v>
      </c>
      <c r="D13" t="s">
        <v>174</v>
      </c>
      <c r="E13" s="1">
        <v>45838</v>
      </c>
      <c r="F13">
        <v>6</v>
      </c>
      <c r="G13">
        <v>30</v>
      </c>
      <c r="H13">
        <v>2025</v>
      </c>
      <c r="I13">
        <v>181</v>
      </c>
      <c r="J13">
        <v>-77.151399999999995</v>
      </c>
      <c r="K13">
        <v>-157.58410000000001</v>
      </c>
      <c r="L13">
        <v>22337</v>
      </c>
      <c r="M13">
        <v>3636.4740489999999</v>
      </c>
      <c r="N13" t="s">
        <v>932</v>
      </c>
      <c r="P13">
        <v>5</v>
      </c>
      <c r="Q13">
        <v>56.096493969999997</v>
      </c>
      <c r="R13">
        <v>33.903506030000003</v>
      </c>
      <c r="S13">
        <v>100.0814838</v>
      </c>
      <c r="T13">
        <v>0.25</v>
      </c>
      <c r="U13">
        <v>2</v>
      </c>
      <c r="V13" t="s">
        <v>3</v>
      </c>
      <c r="W13" t="s">
        <v>24</v>
      </c>
      <c r="X13">
        <v>581176.8578</v>
      </c>
      <c r="Y13" t="s">
        <v>114</v>
      </c>
      <c r="Z13">
        <v>5</v>
      </c>
      <c r="AA13" s="2">
        <v>45838.44027777778</v>
      </c>
      <c r="AB13" s="3">
        <v>0.4403009259259259</v>
      </c>
      <c r="AC13" t="s">
        <v>175</v>
      </c>
      <c r="AD13" s="1">
        <v>45838</v>
      </c>
      <c r="AE13" s="2">
        <v>45838.44027777778</v>
      </c>
      <c r="AF13">
        <v>9.3162765502929599</v>
      </c>
      <c r="AG13">
        <v>261.24722290039</v>
      </c>
      <c r="AH13">
        <v>88.26710233</v>
      </c>
      <c r="AI13">
        <v>0</v>
      </c>
      <c r="AJ13">
        <v>258.31646728515602</v>
      </c>
      <c r="AK13">
        <v>78.699911810000003</v>
      </c>
      <c r="AL13">
        <v>88.26710233</v>
      </c>
      <c r="AM13">
        <v>6.9398618727912096</v>
      </c>
      <c r="AN13" s="6">
        <v>25236.6276040497</v>
      </c>
      <c r="AO13">
        <v>6.2170739313517398</v>
      </c>
      <c r="AP13">
        <v>7.6494784592072698</v>
      </c>
      <c r="AQ13">
        <v>22608.228012075</v>
      </c>
      <c r="AR13">
        <v>27817.129905291698</v>
      </c>
      <c r="AS13">
        <v>22608.228012075</v>
      </c>
      <c r="AT13">
        <v>27817.129905291698</v>
      </c>
      <c r="AU13" s="6">
        <v>2604.45094660836</v>
      </c>
      <c r="AV13">
        <v>-74.373585956935898</v>
      </c>
    </row>
    <row r="14" spans="1:48" x14ac:dyDescent="0.25">
      <c r="A14" t="s">
        <v>111</v>
      </c>
      <c r="B14" t="s">
        <v>112</v>
      </c>
      <c r="C14">
        <v>1</v>
      </c>
      <c r="D14" t="s">
        <v>184</v>
      </c>
      <c r="E14" s="1">
        <v>45846</v>
      </c>
      <c r="F14">
        <v>7</v>
      </c>
      <c r="G14">
        <v>8</v>
      </c>
      <c r="H14">
        <v>2025</v>
      </c>
      <c r="I14">
        <v>189</v>
      </c>
      <c r="J14">
        <v>-77.151399999999995</v>
      </c>
      <c r="K14">
        <v>-157.58410000000001</v>
      </c>
      <c r="L14">
        <v>22337</v>
      </c>
      <c r="M14">
        <v>3057.055053</v>
      </c>
      <c r="N14" t="s">
        <v>932</v>
      </c>
      <c r="P14">
        <v>5</v>
      </c>
      <c r="Q14">
        <v>48.936577319999998</v>
      </c>
      <c r="R14">
        <v>41.063422680000002</v>
      </c>
      <c r="S14">
        <v>80.955775799999998</v>
      </c>
      <c r="T14">
        <v>0.25</v>
      </c>
      <c r="U14">
        <v>2</v>
      </c>
      <c r="V14" t="s">
        <v>3</v>
      </c>
      <c r="W14" t="s">
        <v>4</v>
      </c>
      <c r="X14">
        <v>745074.98419999995</v>
      </c>
      <c r="Y14" t="s">
        <v>114</v>
      </c>
      <c r="Z14">
        <v>5</v>
      </c>
      <c r="AA14" s="2">
        <v>45846.431944444441</v>
      </c>
      <c r="AB14" s="3">
        <v>0.43239583333333331</v>
      </c>
      <c r="AC14" t="s">
        <v>185</v>
      </c>
      <c r="AD14" s="1">
        <v>45846</v>
      </c>
      <c r="AE14" s="2">
        <v>45846.431944444441</v>
      </c>
      <c r="AF14">
        <v>9.9050655364990199</v>
      </c>
      <c r="AG14">
        <v>241.56207275390599</v>
      </c>
      <c r="AH14">
        <v>83.615852301682906</v>
      </c>
      <c r="AI14">
        <v>0</v>
      </c>
      <c r="AJ14">
        <v>236.71141052246</v>
      </c>
      <c r="AK14">
        <v>61.810347074878202</v>
      </c>
      <c r="AL14">
        <v>83.615852301682906</v>
      </c>
      <c r="AM14">
        <v>8.4041445382009208</v>
      </c>
      <c r="AN14" s="6">
        <v>25691.932526649402</v>
      </c>
      <c r="AO14">
        <v>7.5300155797260997</v>
      </c>
      <c r="AP14">
        <v>9.2035358703773706</v>
      </c>
      <c r="AQ14">
        <v>23019.6721771704</v>
      </c>
      <c r="AR14">
        <v>28135.715838003802</v>
      </c>
      <c r="AS14">
        <v>23019.6721771704</v>
      </c>
      <c r="AT14">
        <v>28135.715838003802</v>
      </c>
      <c r="AU14" s="6">
        <v>2558.0218304167302</v>
      </c>
      <c r="AV14">
        <v>-94.388626357639296</v>
      </c>
    </row>
    <row r="15" spans="1:48" x14ac:dyDescent="0.25">
      <c r="A15" t="s">
        <v>111</v>
      </c>
      <c r="B15" t="s">
        <v>112</v>
      </c>
      <c r="C15">
        <v>1</v>
      </c>
      <c r="D15" t="s">
        <v>196</v>
      </c>
      <c r="E15" s="1">
        <v>45863</v>
      </c>
      <c r="F15">
        <v>7</v>
      </c>
      <c r="G15">
        <v>25</v>
      </c>
      <c r="H15">
        <v>2025</v>
      </c>
      <c r="I15">
        <v>206</v>
      </c>
      <c r="J15">
        <v>-77.151399999999995</v>
      </c>
      <c r="K15">
        <v>-157.58410000000001</v>
      </c>
      <c r="L15">
        <v>22337</v>
      </c>
      <c r="M15">
        <v>3049.7158989999998</v>
      </c>
      <c r="N15" t="s">
        <v>932</v>
      </c>
      <c r="P15">
        <v>5</v>
      </c>
      <c r="Q15">
        <v>51.785305530000002</v>
      </c>
      <c r="R15">
        <v>38.214694469999998</v>
      </c>
      <c r="S15">
        <v>101.6623896</v>
      </c>
      <c r="T15">
        <v>0.25</v>
      </c>
      <c r="U15">
        <v>2</v>
      </c>
      <c r="V15" t="s">
        <v>3</v>
      </c>
      <c r="W15" t="s">
        <v>4</v>
      </c>
      <c r="X15">
        <v>717402.36939999997</v>
      </c>
      <c r="Y15" t="s">
        <v>114</v>
      </c>
      <c r="Z15">
        <v>5</v>
      </c>
      <c r="AA15" s="2">
        <v>45863.445138888892</v>
      </c>
      <c r="AB15" s="3">
        <v>0.44542824074074072</v>
      </c>
      <c r="AC15" t="s">
        <v>197</v>
      </c>
      <c r="AD15" s="1">
        <v>45863</v>
      </c>
      <c r="AE15" s="2">
        <v>45863.445138888892</v>
      </c>
      <c r="AF15">
        <v>1.9092445373535101</v>
      </c>
      <c r="AG15">
        <v>239.32853698730401</v>
      </c>
      <c r="AH15">
        <v>97.040969466913296</v>
      </c>
      <c r="AI15">
        <v>0</v>
      </c>
      <c r="AJ15">
        <v>235.82470699999999</v>
      </c>
      <c r="AK15">
        <v>70.265444130000006</v>
      </c>
      <c r="AL15">
        <v>97.040969466913296</v>
      </c>
      <c r="AM15">
        <v>6.9532122119669797</v>
      </c>
      <c r="AN15" s="6">
        <v>21205.3218319566</v>
      </c>
      <c r="AO15">
        <v>6.1060275351571001</v>
      </c>
      <c r="AP15">
        <v>7.7819031017763303</v>
      </c>
      <c r="AQ15">
        <v>18621.6492537003</v>
      </c>
      <c r="AR15">
        <v>23732.593613964698</v>
      </c>
      <c r="AS15">
        <v>18621.6492537003</v>
      </c>
      <c r="AT15">
        <v>23732.593613964698</v>
      </c>
      <c r="AU15" s="6">
        <v>2555.4721801321498</v>
      </c>
      <c r="AV15">
        <v>-74.549346009076302</v>
      </c>
    </row>
    <row r="16" spans="1:48" x14ac:dyDescent="0.25">
      <c r="A16" t="s">
        <v>111</v>
      </c>
      <c r="B16" t="s">
        <v>112</v>
      </c>
      <c r="C16">
        <v>1</v>
      </c>
      <c r="D16" t="s">
        <v>206</v>
      </c>
      <c r="E16" s="1">
        <v>45875</v>
      </c>
      <c r="F16">
        <v>8</v>
      </c>
      <c r="G16">
        <v>6</v>
      </c>
      <c r="H16">
        <v>2025</v>
      </c>
      <c r="I16">
        <v>218</v>
      </c>
      <c r="J16">
        <v>-77.151399999999995</v>
      </c>
      <c r="K16">
        <v>-157.58410000000001</v>
      </c>
      <c r="L16">
        <v>22337</v>
      </c>
      <c r="M16">
        <v>2371.4624170000002</v>
      </c>
      <c r="N16" t="s">
        <v>932</v>
      </c>
      <c r="P16">
        <v>5</v>
      </c>
      <c r="Q16">
        <v>51.829717279999997</v>
      </c>
      <c r="R16">
        <v>38.170282720000003</v>
      </c>
      <c r="S16">
        <v>102.2071084</v>
      </c>
      <c r="T16">
        <v>0.25</v>
      </c>
      <c r="U16">
        <v>2</v>
      </c>
      <c r="V16" t="s">
        <v>3</v>
      </c>
      <c r="W16" t="s">
        <v>4</v>
      </c>
      <c r="X16">
        <v>599179.29520000005</v>
      </c>
      <c r="Y16" t="s">
        <v>114</v>
      </c>
      <c r="Z16">
        <v>5</v>
      </c>
      <c r="AA16" s="2">
        <v>45875.438194444447</v>
      </c>
      <c r="AB16" s="3">
        <v>0.43831018518518516</v>
      </c>
      <c r="AC16" t="s">
        <v>207</v>
      </c>
      <c r="AD16" s="1">
        <v>45875</v>
      </c>
      <c r="AE16" s="2">
        <v>45875.438194444447</v>
      </c>
      <c r="AF16">
        <v>7.4561519622802699</v>
      </c>
      <c r="AG16">
        <v>246.97877502441401</v>
      </c>
      <c r="AH16">
        <v>93.511888353880593</v>
      </c>
      <c r="AI16">
        <v>0</v>
      </c>
      <c r="AJ16">
        <v>243.57141113281199</v>
      </c>
      <c r="AK16">
        <v>72.730815751873905</v>
      </c>
      <c r="AL16">
        <v>93.511888353880593</v>
      </c>
      <c r="AM16">
        <v>7.6801895151549999</v>
      </c>
      <c r="AN16" s="6">
        <v>18213.280790627501</v>
      </c>
      <c r="AO16">
        <v>6.8259738726353296</v>
      </c>
      <c r="AP16">
        <v>8.4901414651738296</v>
      </c>
      <c r="AQ16">
        <v>16187.540498378599</v>
      </c>
      <c r="AR16">
        <v>20134.051399673001</v>
      </c>
      <c r="AS16">
        <v>16187.540498378599</v>
      </c>
      <c r="AT16">
        <v>20134.051399673001</v>
      </c>
      <c r="AU16" s="6">
        <v>1973.2554506472</v>
      </c>
      <c r="AV16">
        <v>-84.257492001443694</v>
      </c>
    </row>
    <row r="17" spans="1:48" x14ac:dyDescent="0.25">
      <c r="A17" t="s">
        <v>111</v>
      </c>
      <c r="B17" t="s">
        <v>112</v>
      </c>
      <c r="C17">
        <v>1</v>
      </c>
      <c r="D17" t="s">
        <v>218</v>
      </c>
      <c r="E17" s="1">
        <v>45889</v>
      </c>
      <c r="F17">
        <v>8</v>
      </c>
      <c r="G17">
        <v>20</v>
      </c>
      <c r="H17">
        <v>2025</v>
      </c>
      <c r="I17">
        <v>232</v>
      </c>
      <c r="J17">
        <v>-77.151399999999995</v>
      </c>
      <c r="K17">
        <v>-157.58410000000001</v>
      </c>
      <c r="L17">
        <v>22337</v>
      </c>
      <c r="M17">
        <v>2347.2710459999998</v>
      </c>
      <c r="N17" t="s">
        <v>932</v>
      </c>
      <c r="P17">
        <v>5</v>
      </c>
      <c r="Q17">
        <v>51.731163219999999</v>
      </c>
      <c r="R17">
        <v>38.268836780000001</v>
      </c>
      <c r="S17">
        <v>100.78613989999999</v>
      </c>
      <c r="T17">
        <v>0.25</v>
      </c>
      <c r="U17">
        <v>2</v>
      </c>
      <c r="V17" t="s">
        <v>3</v>
      </c>
      <c r="W17" t="s">
        <v>4</v>
      </c>
      <c r="X17">
        <v>567162.96349999995</v>
      </c>
      <c r="Y17" t="s">
        <v>114</v>
      </c>
      <c r="Z17">
        <v>5</v>
      </c>
      <c r="AA17" s="2">
        <v>45889.390972222223</v>
      </c>
      <c r="AB17" s="3">
        <v>0.39120370370370372</v>
      </c>
      <c r="AC17" t="s">
        <v>219</v>
      </c>
      <c r="AD17" s="1">
        <v>45889</v>
      </c>
      <c r="AE17" s="2">
        <v>45889.390972222223</v>
      </c>
      <c r="AF17">
        <v>7.7750821113586399</v>
      </c>
      <c r="AG17">
        <v>249.02067565917901</v>
      </c>
      <c r="AH17">
        <v>75.552026582426606</v>
      </c>
      <c r="AI17">
        <v>0</v>
      </c>
      <c r="AJ17">
        <v>243.48745727539</v>
      </c>
      <c r="AK17">
        <v>59.910869905798002</v>
      </c>
      <c r="AL17">
        <v>75.552026582426606</v>
      </c>
      <c r="AM17">
        <v>7.1337581390114897</v>
      </c>
      <c r="AN17" s="6">
        <v>16744.863928868501</v>
      </c>
      <c r="AO17">
        <v>6.3845581438774701</v>
      </c>
      <c r="AP17">
        <v>7.86361446530971</v>
      </c>
      <c r="AQ17">
        <v>14986.288472627</v>
      </c>
      <c r="AR17">
        <v>18458.034551328201</v>
      </c>
      <c r="AS17">
        <v>14986.288472627</v>
      </c>
      <c r="AT17">
        <v>18458.034551328201</v>
      </c>
      <c r="AU17" s="6">
        <v>1735.87303935058</v>
      </c>
      <c r="AV17">
        <v>-76.932994290718298</v>
      </c>
    </row>
    <row r="18" spans="1:48" x14ac:dyDescent="0.25">
      <c r="A18" t="s">
        <v>111</v>
      </c>
      <c r="B18" t="s">
        <v>112</v>
      </c>
      <c r="C18">
        <v>1</v>
      </c>
      <c r="D18" t="s">
        <v>230</v>
      </c>
      <c r="E18" s="1">
        <v>45898</v>
      </c>
      <c r="F18">
        <v>8</v>
      </c>
      <c r="G18">
        <v>29</v>
      </c>
      <c r="H18">
        <v>2025</v>
      </c>
      <c r="I18">
        <v>241</v>
      </c>
      <c r="J18">
        <v>-77.151399999999995</v>
      </c>
      <c r="K18">
        <v>-157.58410000000001</v>
      </c>
      <c r="L18">
        <v>22337</v>
      </c>
      <c r="N18" t="s">
        <v>939</v>
      </c>
      <c r="P18">
        <v>2</v>
      </c>
      <c r="Q18">
        <v>49.177658749999999</v>
      </c>
      <c r="R18">
        <v>40.822341250000001</v>
      </c>
      <c r="S18">
        <v>82.247061119999998</v>
      </c>
      <c r="T18">
        <v>0.25</v>
      </c>
      <c r="U18">
        <v>2</v>
      </c>
      <c r="V18" t="s">
        <v>3</v>
      </c>
      <c r="W18" t="s">
        <v>4</v>
      </c>
      <c r="X18">
        <v>579818.21369999996</v>
      </c>
      <c r="Y18" t="s">
        <v>114</v>
      </c>
      <c r="Z18">
        <v>2</v>
      </c>
      <c r="AA18" s="2">
        <v>45898.382638888892</v>
      </c>
      <c r="AB18" s="3">
        <v>0.38319444444444445</v>
      </c>
      <c r="AC18" t="s">
        <v>231</v>
      </c>
      <c r="AD18" s="1">
        <v>45898</v>
      </c>
      <c r="AE18" s="2">
        <v>45898.382638888892</v>
      </c>
      <c r="AF18">
        <v>2.9901278018951398</v>
      </c>
      <c r="AG18">
        <v>253.88343811035099</v>
      </c>
      <c r="AH18">
        <v>96.027653167568801</v>
      </c>
      <c r="AI18">
        <v>0</v>
      </c>
      <c r="AJ18">
        <v>251.29209899902301</v>
      </c>
      <c r="AK18">
        <v>79.765490693928498</v>
      </c>
      <c r="AL18">
        <v>96.027653167568801</v>
      </c>
      <c r="AM18">
        <v>6.0914484476522901</v>
      </c>
      <c r="AO18">
        <v>5.39450258445172</v>
      </c>
      <c r="AP18">
        <v>6.7961368994473599</v>
      </c>
      <c r="AV18">
        <v>-63.261763784287098</v>
      </c>
    </row>
    <row r="19" spans="1:48" x14ac:dyDescent="0.25">
      <c r="A19" t="s">
        <v>240</v>
      </c>
      <c r="B19" t="s">
        <v>241</v>
      </c>
      <c r="C19">
        <v>1</v>
      </c>
      <c r="D19" t="s">
        <v>242</v>
      </c>
      <c r="E19" s="1">
        <v>45772</v>
      </c>
      <c r="F19">
        <v>4</v>
      </c>
      <c r="G19">
        <v>25</v>
      </c>
      <c r="H19">
        <v>2025</v>
      </c>
      <c r="I19">
        <v>115</v>
      </c>
      <c r="J19">
        <v>-73.354399999999998</v>
      </c>
      <c r="K19">
        <v>169.6198</v>
      </c>
      <c r="L19">
        <v>26498</v>
      </c>
      <c r="M19">
        <v>967.33864300000005</v>
      </c>
      <c r="N19" t="s">
        <v>919</v>
      </c>
      <c r="P19">
        <v>3</v>
      </c>
      <c r="Q19">
        <v>51.671156709999998</v>
      </c>
      <c r="R19">
        <v>38.328843290000002</v>
      </c>
      <c r="S19">
        <v>106.9867754</v>
      </c>
      <c r="T19">
        <v>0.25</v>
      </c>
      <c r="U19">
        <v>2</v>
      </c>
      <c r="V19" t="s">
        <v>3</v>
      </c>
      <c r="W19" t="s">
        <v>4</v>
      </c>
      <c r="X19">
        <v>626377.10679999995</v>
      </c>
      <c r="Y19" t="s">
        <v>114</v>
      </c>
      <c r="Z19">
        <v>3</v>
      </c>
      <c r="AA19" s="2">
        <v>45772.507638888892</v>
      </c>
      <c r="AB19" s="3">
        <v>0.50790509259259264</v>
      </c>
      <c r="AC19" t="s">
        <v>243</v>
      </c>
      <c r="AD19" s="1">
        <v>45772</v>
      </c>
      <c r="AE19" s="2">
        <v>45772.507638888892</v>
      </c>
      <c r="AF19">
        <v>6.2602510452270499</v>
      </c>
      <c r="AG19">
        <v>252.53265380859301</v>
      </c>
      <c r="AH19">
        <v>80.931800502599103</v>
      </c>
      <c r="AI19">
        <v>0</v>
      </c>
      <c r="AJ19">
        <v>247.934646606445</v>
      </c>
      <c r="AK19">
        <v>66.362362802054506</v>
      </c>
      <c r="AL19">
        <v>80.931800502599103</v>
      </c>
      <c r="AM19">
        <v>6.6250036088024897</v>
      </c>
      <c r="AN19" s="6">
        <v>6408.6220008091004</v>
      </c>
      <c r="AO19">
        <v>5.9169744026154296</v>
      </c>
      <c r="AP19">
        <v>7.3279477735115996</v>
      </c>
      <c r="AQ19">
        <v>5723.7179892917402</v>
      </c>
      <c r="AR19">
        <v>7088.6070552035799</v>
      </c>
      <c r="AS19">
        <v>5723.7179892917402</v>
      </c>
      <c r="AT19">
        <v>7088.6070552035799</v>
      </c>
      <c r="AU19" s="6">
        <v>682.44453295591802</v>
      </c>
      <c r="AV19">
        <v>-70.242477059196204</v>
      </c>
    </row>
    <row r="20" spans="1:48" x14ac:dyDescent="0.25">
      <c r="A20" t="s">
        <v>240</v>
      </c>
      <c r="B20" t="s">
        <v>241</v>
      </c>
      <c r="C20">
        <v>1</v>
      </c>
      <c r="D20" t="s">
        <v>255</v>
      </c>
      <c r="E20" s="1">
        <v>45790</v>
      </c>
      <c r="F20">
        <v>5</v>
      </c>
      <c r="G20">
        <v>13</v>
      </c>
      <c r="H20">
        <v>2025</v>
      </c>
      <c r="I20">
        <v>133</v>
      </c>
      <c r="J20">
        <v>-73.354399999999998</v>
      </c>
      <c r="K20">
        <v>169.6198</v>
      </c>
      <c r="L20">
        <v>26498</v>
      </c>
      <c r="M20">
        <v>3410.1936129999999</v>
      </c>
      <c r="N20" t="s">
        <v>919</v>
      </c>
      <c r="P20">
        <v>5</v>
      </c>
      <c r="Q20">
        <v>51.055486649999999</v>
      </c>
      <c r="R20">
        <v>38.944513350000001</v>
      </c>
      <c r="S20">
        <v>103.9433348</v>
      </c>
      <c r="T20">
        <v>0.25</v>
      </c>
      <c r="U20">
        <v>2</v>
      </c>
      <c r="V20" t="s">
        <v>3</v>
      </c>
      <c r="W20" t="s">
        <v>4</v>
      </c>
      <c r="X20">
        <v>726724.31669999997</v>
      </c>
      <c r="Y20" t="s">
        <v>114</v>
      </c>
      <c r="Z20">
        <v>5</v>
      </c>
      <c r="AA20" s="2">
        <v>45790.51666666667</v>
      </c>
      <c r="AB20" s="3">
        <v>0.5170717592592593</v>
      </c>
      <c r="AC20" t="s">
        <v>256</v>
      </c>
      <c r="AD20" s="1">
        <v>45790</v>
      </c>
      <c r="AE20" s="2">
        <v>45790.51666666667</v>
      </c>
      <c r="AF20">
        <v>5.0798788070678702</v>
      </c>
      <c r="AG20">
        <v>251.47039794921801</v>
      </c>
      <c r="AH20">
        <v>96.631823076076401</v>
      </c>
      <c r="AI20">
        <v>0</v>
      </c>
      <c r="AJ20">
        <v>248.74967956542901</v>
      </c>
      <c r="AK20">
        <v>78.435814764527805</v>
      </c>
      <c r="AL20">
        <v>96.631823076076401</v>
      </c>
      <c r="AM20">
        <v>6.8276399532171901</v>
      </c>
      <c r="AN20" s="6">
        <v>23283.574160324799</v>
      </c>
      <c r="AO20">
        <v>6.0449094387467497</v>
      </c>
      <c r="AP20">
        <v>7.5982243492363004</v>
      </c>
      <c r="AQ20">
        <v>20614.3115591776</v>
      </c>
      <c r="AR20">
        <v>25911.4161459067</v>
      </c>
      <c r="AS20">
        <v>20614.3115591776</v>
      </c>
      <c r="AT20">
        <v>25911.4161459067</v>
      </c>
      <c r="AU20" s="6">
        <v>2648.5522933645502</v>
      </c>
      <c r="AV20">
        <v>-72.898389305373698</v>
      </c>
    </row>
    <row r="21" spans="1:48" x14ac:dyDescent="0.25">
      <c r="A21" t="s">
        <v>240</v>
      </c>
      <c r="B21" t="s">
        <v>241</v>
      </c>
      <c r="C21">
        <v>1</v>
      </c>
      <c r="D21" t="s">
        <v>268</v>
      </c>
      <c r="E21" s="1">
        <v>45800</v>
      </c>
      <c r="F21">
        <v>5</v>
      </c>
      <c r="G21">
        <v>23</v>
      </c>
      <c r="H21">
        <v>2025</v>
      </c>
      <c r="I21">
        <v>143</v>
      </c>
      <c r="J21">
        <v>-73.354399999999998</v>
      </c>
      <c r="K21">
        <v>169.6198</v>
      </c>
      <c r="L21">
        <v>26498</v>
      </c>
      <c r="M21">
        <v>4120.5616550000004</v>
      </c>
      <c r="N21" t="s">
        <v>919</v>
      </c>
      <c r="P21">
        <v>5</v>
      </c>
      <c r="Q21">
        <v>50.545361450000001</v>
      </c>
      <c r="R21">
        <v>39.454638549999999</v>
      </c>
      <c r="S21">
        <v>205.58010680000001</v>
      </c>
      <c r="T21">
        <v>0.25</v>
      </c>
      <c r="U21">
        <v>2</v>
      </c>
      <c r="V21" t="s">
        <v>3</v>
      </c>
      <c r="W21" t="s">
        <v>4</v>
      </c>
      <c r="X21">
        <v>605686.49730000005</v>
      </c>
      <c r="Y21" t="s">
        <v>114</v>
      </c>
      <c r="Z21">
        <v>5</v>
      </c>
      <c r="AA21" s="2">
        <v>45800.519444444442</v>
      </c>
      <c r="AB21" s="3">
        <v>0.52</v>
      </c>
      <c r="AC21" t="s">
        <v>269</v>
      </c>
      <c r="AD21" s="1">
        <v>45800</v>
      </c>
      <c r="AE21" s="2">
        <v>45800.519444444442</v>
      </c>
      <c r="AF21">
        <v>10.0408887863159</v>
      </c>
      <c r="AG21">
        <v>255.28732299804599</v>
      </c>
      <c r="AH21">
        <v>73.507047724554198</v>
      </c>
      <c r="AI21">
        <v>0</v>
      </c>
      <c r="AJ21">
        <v>249.79019165039</v>
      </c>
      <c r="AK21">
        <v>61.886403526166603</v>
      </c>
      <c r="AL21">
        <v>73.507047724554198</v>
      </c>
      <c r="AM21">
        <v>7.1798260163479499</v>
      </c>
      <c r="AN21" s="6">
        <v>29584.915772534699</v>
      </c>
      <c r="AO21">
        <v>6.4608421513251697</v>
      </c>
      <c r="AP21">
        <v>7.8798325140357797</v>
      </c>
      <c r="AQ21">
        <v>26622.2984277582</v>
      </c>
      <c r="AR21">
        <v>32469.335705158101</v>
      </c>
      <c r="AS21">
        <v>26622.2984277582</v>
      </c>
      <c r="AT21">
        <v>32469.335705158101</v>
      </c>
      <c r="AU21" s="6">
        <v>2923.5186386999399</v>
      </c>
      <c r="AV21">
        <v>-77.543489372309807</v>
      </c>
    </row>
    <row r="22" spans="1:48" x14ac:dyDescent="0.25">
      <c r="A22" t="s">
        <v>240</v>
      </c>
      <c r="B22" t="s">
        <v>241</v>
      </c>
      <c r="C22">
        <v>1</v>
      </c>
      <c r="D22" t="s">
        <v>281</v>
      </c>
      <c r="E22" s="1">
        <v>45810</v>
      </c>
      <c r="F22">
        <v>6</v>
      </c>
      <c r="G22">
        <v>2</v>
      </c>
      <c r="H22">
        <v>2025</v>
      </c>
      <c r="I22">
        <v>153</v>
      </c>
      <c r="J22">
        <v>-73.354399999999998</v>
      </c>
      <c r="K22">
        <v>169.6198</v>
      </c>
      <c r="L22">
        <v>26498</v>
      </c>
      <c r="M22">
        <v>4248.1579629999997</v>
      </c>
      <c r="N22" t="s">
        <v>919</v>
      </c>
      <c r="P22">
        <v>5</v>
      </c>
      <c r="Q22">
        <v>48.747590619999997</v>
      </c>
      <c r="R22">
        <v>41.252409380000003</v>
      </c>
      <c r="S22">
        <v>218.7932801</v>
      </c>
      <c r="T22">
        <v>0.25</v>
      </c>
      <c r="U22">
        <v>2</v>
      </c>
      <c r="V22" t="s">
        <v>3</v>
      </c>
      <c r="W22" t="s">
        <v>4</v>
      </c>
      <c r="X22">
        <v>749187.23880000005</v>
      </c>
      <c r="Y22" t="s">
        <v>114</v>
      </c>
      <c r="Z22">
        <v>5</v>
      </c>
      <c r="AA22" s="2">
        <v>45810.6</v>
      </c>
      <c r="AB22" s="3">
        <v>0.60062499999999996</v>
      </c>
      <c r="AC22" t="s">
        <v>282</v>
      </c>
      <c r="AD22" s="1">
        <v>45810</v>
      </c>
      <c r="AE22" s="2">
        <v>45810.6</v>
      </c>
      <c r="AF22">
        <v>4.8247904777526802</v>
      </c>
      <c r="AG22">
        <v>255.43746948242099</v>
      </c>
      <c r="AH22">
        <v>93.74471441</v>
      </c>
      <c r="AI22">
        <v>0</v>
      </c>
      <c r="AJ22">
        <v>252.704177856445</v>
      </c>
      <c r="AK22">
        <v>79.038561845470497</v>
      </c>
      <c r="AL22">
        <v>93.74471441</v>
      </c>
      <c r="AM22">
        <v>6.3812512539216701</v>
      </c>
      <c r="AN22" s="6">
        <v>27108.563328251101</v>
      </c>
      <c r="AO22">
        <v>5.6675510612045299</v>
      </c>
      <c r="AP22">
        <v>7.0957879829412596</v>
      </c>
      <c r="AQ22">
        <v>24076.652171365098</v>
      </c>
      <c r="AR22">
        <v>30144.028223491601</v>
      </c>
      <c r="AS22">
        <v>24076.652171365098</v>
      </c>
      <c r="AT22">
        <v>30144.028223491601</v>
      </c>
      <c r="AU22" s="6">
        <v>3033.6880260632402</v>
      </c>
      <c r="AV22">
        <v>-67.054472748128106</v>
      </c>
    </row>
    <row r="23" spans="1:48" x14ac:dyDescent="0.25">
      <c r="A23" t="s">
        <v>240</v>
      </c>
      <c r="B23" t="s">
        <v>241</v>
      </c>
      <c r="C23">
        <v>1</v>
      </c>
      <c r="D23" t="s">
        <v>292</v>
      </c>
      <c r="E23" s="1">
        <v>45821</v>
      </c>
      <c r="F23">
        <v>6</v>
      </c>
      <c r="G23">
        <v>13</v>
      </c>
      <c r="H23">
        <v>2025</v>
      </c>
      <c r="I23">
        <v>164</v>
      </c>
      <c r="J23">
        <v>-73.354399999999998</v>
      </c>
      <c r="K23">
        <v>169.6198</v>
      </c>
      <c r="L23">
        <v>26498</v>
      </c>
      <c r="M23">
        <v>4774.6071659999998</v>
      </c>
      <c r="N23" t="s">
        <v>919</v>
      </c>
      <c r="P23">
        <v>2</v>
      </c>
      <c r="Q23">
        <v>54.829220999999997</v>
      </c>
      <c r="R23">
        <v>35.170779000000003</v>
      </c>
      <c r="S23">
        <v>105.8614998</v>
      </c>
      <c r="T23">
        <v>0.25</v>
      </c>
      <c r="U23">
        <v>2</v>
      </c>
      <c r="V23" t="s">
        <v>3</v>
      </c>
      <c r="W23" t="s">
        <v>4</v>
      </c>
      <c r="X23">
        <v>571464.82279999997</v>
      </c>
      <c r="Y23" t="s">
        <v>114</v>
      </c>
      <c r="Z23">
        <v>2</v>
      </c>
      <c r="AA23" s="2">
        <v>45821.463888888888</v>
      </c>
      <c r="AB23" s="3">
        <v>0.46428240740740739</v>
      </c>
      <c r="AC23" t="s">
        <v>293</v>
      </c>
      <c r="AD23" s="1">
        <v>45821</v>
      </c>
      <c r="AE23" s="2">
        <v>45821.463888888888</v>
      </c>
      <c r="AF23">
        <v>9.4394168853759695</v>
      </c>
      <c r="AG23">
        <v>267.32675170898398</v>
      </c>
      <c r="AH23">
        <v>60.667372763110997</v>
      </c>
      <c r="AI23">
        <v>0</v>
      </c>
      <c r="AJ23">
        <v>260.2805176</v>
      </c>
      <c r="AK23">
        <v>57.3584327110431</v>
      </c>
      <c r="AL23">
        <v>60.667372763110997</v>
      </c>
      <c r="AM23">
        <v>5.7632766857702</v>
      </c>
      <c r="AN23" s="6">
        <v>27517.382163519102</v>
      </c>
      <c r="AO23">
        <v>5.2722065656100101</v>
      </c>
      <c r="AP23">
        <v>6.26218785290488</v>
      </c>
      <c r="AQ23">
        <v>25172.7152487938</v>
      </c>
      <c r="AR23">
        <v>29899.486997317799</v>
      </c>
      <c r="AS23">
        <v>25172.7152487938</v>
      </c>
      <c r="AT23">
        <v>29899.486997317799</v>
      </c>
      <c r="AU23" s="6">
        <v>2363.38587426198</v>
      </c>
      <c r="AV23">
        <v>-58.945069254645702</v>
      </c>
    </row>
    <row r="24" spans="1:48" x14ac:dyDescent="0.25">
      <c r="A24" t="s">
        <v>240</v>
      </c>
      <c r="B24" t="s">
        <v>241</v>
      </c>
      <c r="C24">
        <v>1</v>
      </c>
      <c r="D24" t="s">
        <v>304</v>
      </c>
      <c r="E24" s="1">
        <v>45838</v>
      </c>
      <c r="F24">
        <v>6</v>
      </c>
      <c r="G24">
        <v>30</v>
      </c>
      <c r="H24">
        <v>2025</v>
      </c>
      <c r="I24">
        <v>181</v>
      </c>
      <c r="J24">
        <v>-73.354399999999998</v>
      </c>
      <c r="K24">
        <v>169.6198</v>
      </c>
      <c r="L24">
        <v>26498</v>
      </c>
      <c r="M24">
        <v>3228.7296900000001</v>
      </c>
      <c r="N24" t="s">
        <v>932</v>
      </c>
      <c r="P24">
        <v>5</v>
      </c>
      <c r="Q24">
        <v>51.036088159999998</v>
      </c>
      <c r="R24">
        <v>38.963911840000002</v>
      </c>
      <c r="S24">
        <v>202.47631010000001</v>
      </c>
      <c r="T24">
        <v>0.25</v>
      </c>
      <c r="U24">
        <v>2</v>
      </c>
      <c r="V24" t="s">
        <v>3</v>
      </c>
      <c r="W24" t="s">
        <v>4</v>
      </c>
      <c r="X24">
        <v>615999.11869999999</v>
      </c>
      <c r="Y24" t="s">
        <v>114</v>
      </c>
      <c r="Z24">
        <v>5</v>
      </c>
      <c r="AA24" s="2">
        <v>45838.570833333331</v>
      </c>
      <c r="AB24" s="3">
        <v>0.57093749999999999</v>
      </c>
      <c r="AC24" t="s">
        <v>305</v>
      </c>
      <c r="AD24" s="1">
        <v>45838</v>
      </c>
      <c r="AE24" s="2">
        <v>45838.570833333331</v>
      </c>
      <c r="AF24">
        <v>2.7663128376007</v>
      </c>
      <c r="AG24">
        <v>248.09819030761699</v>
      </c>
      <c r="AH24">
        <v>92.838541390000003</v>
      </c>
      <c r="AI24">
        <v>0</v>
      </c>
      <c r="AJ24">
        <v>244.69081115722599</v>
      </c>
      <c r="AK24">
        <v>72.976737432905296</v>
      </c>
      <c r="AL24">
        <v>92.838541390000003</v>
      </c>
      <c r="AM24">
        <v>6.3899532014485301</v>
      </c>
      <c r="AN24" s="6">
        <v>20631.431619227398</v>
      </c>
      <c r="AO24">
        <v>5.6471214544639698</v>
      </c>
      <c r="AP24">
        <v>7.13345733777102</v>
      </c>
      <c r="AQ24">
        <v>18233.028703063799</v>
      </c>
      <c r="AR24">
        <v>23032.005498809602</v>
      </c>
      <c r="AS24">
        <v>18233.028703063799</v>
      </c>
      <c r="AT24">
        <v>23032.005498809602</v>
      </c>
      <c r="AU24" s="6">
        <v>2399.4883978729199</v>
      </c>
      <c r="AV24">
        <v>-67.168251575863195</v>
      </c>
    </row>
    <row r="25" spans="1:48" x14ac:dyDescent="0.25">
      <c r="A25" t="s">
        <v>240</v>
      </c>
      <c r="B25" t="s">
        <v>241</v>
      </c>
      <c r="C25">
        <v>1</v>
      </c>
      <c r="D25" t="s">
        <v>316</v>
      </c>
      <c r="E25" s="1">
        <v>45849</v>
      </c>
      <c r="F25">
        <v>7</v>
      </c>
      <c r="G25">
        <v>11</v>
      </c>
      <c r="H25">
        <v>2025</v>
      </c>
      <c r="I25">
        <v>192</v>
      </c>
      <c r="J25">
        <v>-73.354399999999998</v>
      </c>
      <c r="K25">
        <v>169.6198</v>
      </c>
      <c r="L25">
        <v>26498</v>
      </c>
      <c r="M25">
        <v>2559.9798839999999</v>
      </c>
      <c r="N25" t="s">
        <v>932</v>
      </c>
      <c r="P25">
        <v>5</v>
      </c>
      <c r="Q25">
        <v>49.18397642</v>
      </c>
      <c r="R25">
        <v>40.81602358</v>
      </c>
      <c r="S25">
        <v>217.34585519999999</v>
      </c>
      <c r="T25">
        <v>0.25</v>
      </c>
      <c r="U25">
        <v>2</v>
      </c>
      <c r="V25" t="s">
        <v>3</v>
      </c>
      <c r="W25" t="s">
        <v>4</v>
      </c>
      <c r="X25">
        <v>609297.74360000005</v>
      </c>
      <c r="Y25" t="s">
        <v>114</v>
      </c>
      <c r="Z25">
        <v>5</v>
      </c>
      <c r="AA25" s="2">
        <v>45849.527083333334</v>
      </c>
      <c r="AB25" s="3">
        <v>0.52733796296296298</v>
      </c>
      <c r="AC25" t="s">
        <v>317</v>
      </c>
      <c r="AD25" s="1">
        <v>45849</v>
      </c>
      <c r="AE25" s="2">
        <v>45849.527083333334</v>
      </c>
      <c r="AF25">
        <v>3.4306111335754301</v>
      </c>
      <c r="AG25">
        <v>252.52046203613199</v>
      </c>
      <c r="AH25">
        <v>98.635180541482399</v>
      </c>
      <c r="AI25">
        <v>0</v>
      </c>
      <c r="AJ25">
        <v>250.11508178710901</v>
      </c>
      <c r="AK25">
        <v>80.869329716797196</v>
      </c>
      <c r="AL25">
        <v>98.635180541482399</v>
      </c>
      <c r="AM25">
        <v>6.3789656716816996</v>
      </c>
      <c r="AN25" s="6">
        <v>16330.0238002317</v>
      </c>
      <c r="AO25">
        <v>5.6371768021269197</v>
      </c>
      <c r="AP25">
        <v>7.1217195420710802</v>
      </c>
      <c r="AQ25">
        <v>14431.0592159963</v>
      </c>
      <c r="AR25">
        <v>18231.458767191602</v>
      </c>
      <c r="AS25">
        <v>14431.0592159963</v>
      </c>
      <c r="AT25">
        <v>18231.458767191602</v>
      </c>
      <c r="AU25" s="6">
        <v>1900.1997755976399</v>
      </c>
      <c r="AV25">
        <v>-67.024588281209503</v>
      </c>
    </row>
    <row r="26" spans="1:48" x14ac:dyDescent="0.25">
      <c r="A26" t="s">
        <v>240</v>
      </c>
      <c r="B26" t="s">
        <v>241</v>
      </c>
      <c r="C26">
        <v>1</v>
      </c>
      <c r="D26" t="s">
        <v>328</v>
      </c>
      <c r="E26" s="1">
        <v>45862</v>
      </c>
      <c r="F26">
        <v>7</v>
      </c>
      <c r="G26">
        <v>24</v>
      </c>
      <c r="H26">
        <v>2025</v>
      </c>
      <c r="I26">
        <v>205</v>
      </c>
      <c r="J26">
        <v>-73.354399999999998</v>
      </c>
      <c r="K26">
        <v>169.6198</v>
      </c>
      <c r="L26">
        <v>26498</v>
      </c>
      <c r="M26">
        <v>2078.9469239999999</v>
      </c>
      <c r="N26" t="s">
        <v>932</v>
      </c>
      <c r="P26">
        <v>5</v>
      </c>
      <c r="Q26">
        <v>56.789383870000002</v>
      </c>
      <c r="R26">
        <v>33.210616129999998</v>
      </c>
      <c r="S26">
        <v>268.65408500000001</v>
      </c>
      <c r="T26">
        <v>0.25</v>
      </c>
      <c r="U26">
        <v>2</v>
      </c>
      <c r="V26" t="s">
        <v>3</v>
      </c>
      <c r="W26" t="s">
        <v>24</v>
      </c>
      <c r="X26">
        <v>677975.48490000004</v>
      </c>
      <c r="Y26" t="s">
        <v>114</v>
      </c>
      <c r="Z26">
        <v>5</v>
      </c>
      <c r="AA26" s="2">
        <v>45862.581944444442</v>
      </c>
      <c r="AB26" s="3">
        <v>0.58254629629629628</v>
      </c>
      <c r="AC26" t="s">
        <v>329</v>
      </c>
      <c r="AD26" s="1">
        <v>45862</v>
      </c>
      <c r="AE26" s="2">
        <v>45862.581944444442</v>
      </c>
      <c r="AF26">
        <v>3.2170875072479199</v>
      </c>
      <c r="AG26">
        <v>244.21696472167901</v>
      </c>
      <c r="AH26">
        <v>101.17322946665701</v>
      </c>
      <c r="AI26">
        <v>0</v>
      </c>
      <c r="AJ26">
        <v>241.43975830078099</v>
      </c>
      <c r="AK26">
        <v>76.668019081774702</v>
      </c>
      <c r="AL26">
        <v>101.17322946665701</v>
      </c>
      <c r="AM26">
        <v>7.02606123741033</v>
      </c>
      <c r="AN26" s="6">
        <v>14606.8083973498</v>
      </c>
      <c r="AO26">
        <v>6.1801872455990301</v>
      </c>
      <c r="AP26">
        <v>7.8510222220311201</v>
      </c>
      <c r="AQ26">
        <v>12848.2812639821</v>
      </c>
      <c r="AR26">
        <v>16321.8584987472</v>
      </c>
      <c r="AS26">
        <v>12848.2812639821</v>
      </c>
      <c r="AT26">
        <v>16321.8584987472</v>
      </c>
      <c r="AU26" s="6">
        <v>1736.78861738255</v>
      </c>
      <c r="AV26">
        <v>-75.509549376727506</v>
      </c>
    </row>
    <row r="27" spans="1:48" x14ac:dyDescent="0.25">
      <c r="A27" t="s">
        <v>240</v>
      </c>
      <c r="B27" t="s">
        <v>241</v>
      </c>
      <c r="C27">
        <v>1</v>
      </c>
      <c r="D27" t="s">
        <v>341</v>
      </c>
      <c r="E27" s="1">
        <v>45875</v>
      </c>
      <c r="F27">
        <v>8</v>
      </c>
      <c r="G27">
        <v>6</v>
      </c>
      <c r="H27">
        <v>2025</v>
      </c>
      <c r="I27">
        <v>218</v>
      </c>
      <c r="J27">
        <v>-73.354399999999998</v>
      </c>
      <c r="K27">
        <v>169.6198</v>
      </c>
      <c r="L27">
        <v>26498</v>
      </c>
      <c r="M27">
        <v>1827.9402729999999</v>
      </c>
      <c r="N27" t="s">
        <v>932</v>
      </c>
      <c r="P27">
        <v>5</v>
      </c>
      <c r="Q27">
        <v>57.299693410000003</v>
      </c>
      <c r="R27">
        <v>32.700306589999997</v>
      </c>
      <c r="S27">
        <v>257.00871419999999</v>
      </c>
      <c r="T27">
        <v>0.25</v>
      </c>
      <c r="U27">
        <v>2</v>
      </c>
      <c r="V27" t="s">
        <v>23</v>
      </c>
      <c r="W27" t="s">
        <v>4</v>
      </c>
      <c r="X27">
        <v>673056.15650000004</v>
      </c>
      <c r="Y27" t="s">
        <v>114</v>
      </c>
      <c r="Z27">
        <v>5</v>
      </c>
      <c r="AA27" s="2">
        <v>45875.931944444441</v>
      </c>
      <c r="AB27" s="3">
        <v>0.93261574074074072</v>
      </c>
      <c r="AC27" t="s">
        <v>342</v>
      </c>
      <c r="AD27" s="1">
        <v>45875</v>
      </c>
      <c r="AE27" s="2">
        <v>45875.931944444441</v>
      </c>
      <c r="AF27">
        <v>3.7205247879028298</v>
      </c>
      <c r="AG27">
        <v>244.40983581542901</v>
      </c>
      <c r="AH27">
        <v>95.740191904748102</v>
      </c>
      <c r="AI27">
        <v>0</v>
      </c>
      <c r="AJ27">
        <v>241.0773926</v>
      </c>
      <c r="AK27">
        <v>72.682421039999994</v>
      </c>
      <c r="AL27">
        <v>95.740191904748102</v>
      </c>
      <c r="AM27">
        <v>6.9937746188564898</v>
      </c>
      <c r="AN27" s="6">
        <v>12784.202286092999</v>
      </c>
      <c r="AO27">
        <v>6.16932605727271</v>
      </c>
      <c r="AP27">
        <v>7.7993874258886002</v>
      </c>
      <c r="AQ27">
        <v>11277.159557357099</v>
      </c>
      <c r="AR27">
        <v>14256.8143805115</v>
      </c>
      <c r="AS27">
        <v>11277.159557357099</v>
      </c>
      <c r="AT27">
        <v>14256.8143805115</v>
      </c>
      <c r="AU27" s="6">
        <v>1489.8274115772399</v>
      </c>
      <c r="AV27">
        <v>-75.0837445666143</v>
      </c>
    </row>
    <row r="28" spans="1:48" x14ac:dyDescent="0.25">
      <c r="A28" t="s">
        <v>240</v>
      </c>
      <c r="B28" t="s">
        <v>241</v>
      </c>
      <c r="C28">
        <v>1</v>
      </c>
      <c r="D28" t="s">
        <v>351</v>
      </c>
      <c r="E28" s="1">
        <v>45890</v>
      </c>
      <c r="F28">
        <v>8</v>
      </c>
      <c r="G28">
        <v>21</v>
      </c>
      <c r="H28">
        <v>2025</v>
      </c>
      <c r="I28">
        <v>233</v>
      </c>
      <c r="J28">
        <v>-73.354399999999998</v>
      </c>
      <c r="K28">
        <v>169.6198</v>
      </c>
      <c r="L28">
        <v>26498</v>
      </c>
      <c r="M28">
        <v>1867.6071870000001</v>
      </c>
      <c r="N28" t="s">
        <v>939</v>
      </c>
      <c r="P28">
        <v>5</v>
      </c>
      <c r="Q28">
        <v>53.50305256</v>
      </c>
      <c r="R28">
        <v>36.49694744</v>
      </c>
      <c r="S28">
        <v>325.59674919999998</v>
      </c>
      <c r="T28">
        <v>0.25</v>
      </c>
      <c r="U28">
        <v>2</v>
      </c>
      <c r="V28" t="s">
        <v>23</v>
      </c>
      <c r="W28" t="s">
        <v>24</v>
      </c>
      <c r="X28">
        <v>553330.05599999998</v>
      </c>
      <c r="Y28" t="s">
        <v>114</v>
      </c>
      <c r="Z28">
        <v>5</v>
      </c>
      <c r="AA28" s="2">
        <v>45890.874305555553</v>
      </c>
      <c r="AB28" s="3">
        <v>0.8744791666666667</v>
      </c>
      <c r="AC28" t="s">
        <v>352</v>
      </c>
      <c r="AD28" s="1">
        <v>45890</v>
      </c>
      <c r="AE28" s="2">
        <v>45890.874305555553</v>
      </c>
      <c r="AF28">
        <v>3.0761861801147399</v>
      </c>
      <c r="AG28">
        <v>248.05865478515599</v>
      </c>
      <c r="AH28">
        <v>76.478943142974799</v>
      </c>
      <c r="AI28">
        <v>0</v>
      </c>
      <c r="AJ28">
        <v>242.60655212402301</v>
      </c>
      <c r="AK28">
        <v>60.094563364834798</v>
      </c>
      <c r="AL28">
        <v>76.478943142974799</v>
      </c>
      <c r="AM28">
        <v>6.0303774174760498</v>
      </c>
      <c r="AN28" s="6">
        <v>11262.3762052007</v>
      </c>
      <c r="AO28">
        <v>5.3786087358548098</v>
      </c>
      <c r="AP28">
        <v>6.69021414654613</v>
      </c>
      <c r="AQ28">
        <v>10045.1283311434</v>
      </c>
      <c r="AR28">
        <v>12494.692022658601</v>
      </c>
      <c r="AS28">
        <v>10045.1283311434</v>
      </c>
      <c r="AT28">
        <v>12494.692022658601</v>
      </c>
      <c r="AU28" s="6">
        <v>1224.78184575759</v>
      </c>
      <c r="AV28">
        <v>-62.460824530025398</v>
      </c>
    </row>
    <row r="29" spans="1:48" x14ac:dyDescent="0.25">
      <c r="A29" t="s">
        <v>364</v>
      </c>
      <c r="B29" t="s">
        <v>365</v>
      </c>
      <c r="C29">
        <v>1</v>
      </c>
      <c r="D29" t="s">
        <v>366</v>
      </c>
      <c r="E29" s="1">
        <v>45771</v>
      </c>
      <c r="F29">
        <v>4</v>
      </c>
      <c r="G29">
        <v>24</v>
      </c>
      <c r="H29">
        <v>2025</v>
      </c>
      <c r="I29">
        <v>114</v>
      </c>
      <c r="J29">
        <v>-77.448746</v>
      </c>
      <c r="K29">
        <v>169.277041</v>
      </c>
      <c r="L29">
        <v>1071</v>
      </c>
      <c r="M29">
        <v>420.25565499999999</v>
      </c>
      <c r="N29" t="s">
        <v>919</v>
      </c>
      <c r="P29">
        <v>5</v>
      </c>
      <c r="Q29">
        <v>50.985570940000002</v>
      </c>
      <c r="R29">
        <v>39.014429049999997</v>
      </c>
      <c r="S29">
        <v>326.46492869999997</v>
      </c>
      <c r="T29">
        <v>0.25</v>
      </c>
      <c r="U29">
        <v>2</v>
      </c>
      <c r="V29" t="s">
        <v>23</v>
      </c>
      <c r="W29" t="s">
        <v>4</v>
      </c>
      <c r="X29">
        <v>616829.83230000001</v>
      </c>
      <c r="Y29" t="s">
        <v>114</v>
      </c>
      <c r="Z29">
        <v>5</v>
      </c>
      <c r="AA29" s="2">
        <v>45771.856249999997</v>
      </c>
      <c r="AB29" s="3">
        <v>0.85687500000000005</v>
      </c>
      <c r="AC29" t="s">
        <v>367</v>
      </c>
      <c r="AD29" s="1">
        <v>45771</v>
      </c>
      <c r="AE29" s="2">
        <v>45771.856249999997</v>
      </c>
      <c r="AF29">
        <v>3.80322170257568</v>
      </c>
      <c r="AG29">
        <v>257.862213134765</v>
      </c>
      <c r="AH29">
        <v>95.504788399999995</v>
      </c>
      <c r="AI29">
        <v>0</v>
      </c>
      <c r="AJ29">
        <v>255.56114196777301</v>
      </c>
      <c r="AK29">
        <v>82.421290159999998</v>
      </c>
      <c r="AL29">
        <v>95.504788399999995</v>
      </c>
      <c r="AM29">
        <v>5.9819838964779297</v>
      </c>
      <c r="AN29" s="6">
        <v>2513.9625606137802</v>
      </c>
      <c r="AO29">
        <v>5.3155699732302102</v>
      </c>
      <c r="AP29">
        <v>6.6579208886648003</v>
      </c>
      <c r="AQ29">
        <v>2233.89834079819</v>
      </c>
      <c r="AR29">
        <v>2798.0289040040002</v>
      </c>
      <c r="AS29">
        <v>2233.89834079819</v>
      </c>
      <c r="AT29">
        <v>2798.0289040040002</v>
      </c>
      <c r="AU29" s="6">
        <v>282.065281602906</v>
      </c>
      <c r="AV29">
        <v>-61.825504477640202</v>
      </c>
    </row>
    <row r="30" spans="1:48" x14ac:dyDescent="0.25">
      <c r="A30" t="s">
        <v>364</v>
      </c>
      <c r="B30" t="s">
        <v>365</v>
      </c>
      <c r="C30">
        <v>1</v>
      </c>
      <c r="D30" t="s">
        <v>377</v>
      </c>
      <c r="E30" s="1">
        <v>45799</v>
      </c>
      <c r="F30">
        <v>5</v>
      </c>
      <c r="G30">
        <v>22</v>
      </c>
      <c r="H30">
        <v>2025</v>
      </c>
      <c r="I30">
        <v>142</v>
      </c>
      <c r="J30">
        <v>-77.448746</v>
      </c>
      <c r="K30">
        <v>169.277041</v>
      </c>
      <c r="L30">
        <v>1071</v>
      </c>
      <c r="M30">
        <v>578.06843500000002</v>
      </c>
      <c r="N30" t="s">
        <v>919</v>
      </c>
      <c r="P30">
        <v>5</v>
      </c>
      <c r="Q30">
        <v>49.519721859999997</v>
      </c>
      <c r="R30">
        <v>40.480278140000003</v>
      </c>
      <c r="S30">
        <v>308.64874509999999</v>
      </c>
      <c r="T30">
        <v>0.25</v>
      </c>
      <c r="U30">
        <v>2</v>
      </c>
      <c r="V30" t="s">
        <v>23</v>
      </c>
      <c r="W30" t="s">
        <v>4</v>
      </c>
      <c r="X30">
        <v>613238.02190000005</v>
      </c>
      <c r="Y30" t="s">
        <v>114</v>
      </c>
      <c r="Z30">
        <v>5</v>
      </c>
      <c r="AA30" s="2">
        <v>45799.864583333336</v>
      </c>
      <c r="AB30" s="3">
        <v>0.86469907407407409</v>
      </c>
      <c r="AC30" t="s">
        <v>378</v>
      </c>
      <c r="AD30" s="1">
        <v>45799</v>
      </c>
      <c r="AE30" s="2">
        <v>45799.864583333336</v>
      </c>
      <c r="AF30">
        <v>10.5807743072509</v>
      </c>
      <c r="AG30">
        <v>247.73561096191401</v>
      </c>
      <c r="AH30">
        <v>70.142063631844707</v>
      </c>
      <c r="AI30">
        <v>0</v>
      </c>
      <c r="AJ30">
        <v>241.37268066406199</v>
      </c>
      <c r="AK30">
        <v>54.9467401400168</v>
      </c>
      <c r="AL30">
        <v>70.142063631844707</v>
      </c>
      <c r="AM30">
        <v>7.7870244486712297</v>
      </c>
      <c r="AN30" s="6">
        <v>4501.4330363501103</v>
      </c>
      <c r="AO30">
        <v>7.0068859905732301</v>
      </c>
      <c r="AP30">
        <v>8.5268333698894594</v>
      </c>
      <c r="AQ30">
        <v>4050.4596187940901</v>
      </c>
      <c r="AR30">
        <v>4929.0932216377796</v>
      </c>
      <c r="AS30">
        <v>4050.4596187940901</v>
      </c>
      <c r="AT30">
        <v>4929.0932216377796</v>
      </c>
      <c r="AU30" s="6">
        <v>439.31680142184098</v>
      </c>
      <c r="AV30">
        <v>-85.716002726941198</v>
      </c>
    </row>
    <row r="31" spans="1:48" x14ac:dyDescent="0.25">
      <c r="A31" t="s">
        <v>364</v>
      </c>
      <c r="B31" t="s">
        <v>365</v>
      </c>
      <c r="C31">
        <v>1</v>
      </c>
      <c r="D31" t="s">
        <v>389</v>
      </c>
      <c r="E31" s="1">
        <v>45822</v>
      </c>
      <c r="F31">
        <v>6</v>
      </c>
      <c r="G31">
        <v>14</v>
      </c>
      <c r="H31">
        <v>2025</v>
      </c>
      <c r="I31">
        <v>165</v>
      </c>
      <c r="J31">
        <v>-77.448746</v>
      </c>
      <c r="K31">
        <v>169.277041</v>
      </c>
      <c r="L31">
        <v>1071</v>
      </c>
      <c r="N31" t="s">
        <v>919</v>
      </c>
      <c r="O31" t="s">
        <v>1084</v>
      </c>
      <c r="P31">
        <v>2</v>
      </c>
      <c r="Q31">
        <v>51.674491000000003</v>
      </c>
      <c r="R31">
        <v>38.325508999999997</v>
      </c>
      <c r="S31">
        <v>284.79554719999999</v>
      </c>
      <c r="T31">
        <v>0.25</v>
      </c>
      <c r="U31">
        <v>2</v>
      </c>
      <c r="V31" t="s">
        <v>23</v>
      </c>
      <c r="W31" t="s">
        <v>4</v>
      </c>
      <c r="X31">
        <v>612603.18980000005</v>
      </c>
      <c r="Y31" t="s">
        <v>114</v>
      </c>
      <c r="Z31">
        <v>5</v>
      </c>
      <c r="AA31" s="2">
        <v>45822.914583333331</v>
      </c>
      <c r="AB31" s="3">
        <v>0.91497685185185185</v>
      </c>
      <c r="AC31" t="s">
        <v>390</v>
      </c>
      <c r="AD31" s="1">
        <v>45822</v>
      </c>
      <c r="AE31" s="2">
        <v>45822.914583333331</v>
      </c>
      <c r="AF31">
        <v>6.68218898773193</v>
      </c>
      <c r="AG31">
        <v>264.39450073242102</v>
      </c>
      <c r="AH31">
        <v>64.833504211847796</v>
      </c>
      <c r="AI31">
        <v>0</v>
      </c>
      <c r="AJ31">
        <v>257.98117065429602</v>
      </c>
      <c r="AK31">
        <v>59.587870603751</v>
      </c>
      <c r="AL31">
        <v>64.833504211847796</v>
      </c>
      <c r="AM31">
        <v>5.3992281688646999</v>
      </c>
      <c r="AO31">
        <v>4.9239462442389801</v>
      </c>
      <c r="AP31">
        <v>5.8862305316886401</v>
      </c>
      <c r="AV31">
        <v>-54.102001381038001</v>
      </c>
    </row>
    <row r="32" spans="1:48" x14ac:dyDescent="0.25">
      <c r="A32" t="s">
        <v>364</v>
      </c>
      <c r="B32" t="s">
        <v>365</v>
      </c>
      <c r="C32">
        <v>1</v>
      </c>
      <c r="D32" t="s">
        <v>402</v>
      </c>
      <c r="E32" s="1">
        <v>45838</v>
      </c>
      <c r="F32">
        <v>6</v>
      </c>
      <c r="G32">
        <v>30</v>
      </c>
      <c r="H32">
        <v>2025</v>
      </c>
      <c r="I32">
        <v>181</v>
      </c>
      <c r="J32">
        <v>-77.448746</v>
      </c>
      <c r="K32">
        <v>169.277041</v>
      </c>
      <c r="L32">
        <v>1071</v>
      </c>
      <c r="M32">
        <v>364.49956100000003</v>
      </c>
      <c r="N32" t="s">
        <v>932</v>
      </c>
      <c r="P32">
        <v>5</v>
      </c>
      <c r="Q32">
        <v>53.701445919999998</v>
      </c>
      <c r="R32">
        <v>36.298554080000002</v>
      </c>
      <c r="S32">
        <v>330.49093299999998</v>
      </c>
      <c r="T32">
        <v>0.25</v>
      </c>
      <c r="U32">
        <v>2</v>
      </c>
      <c r="V32" t="s">
        <v>23</v>
      </c>
      <c r="W32" t="s">
        <v>24</v>
      </c>
      <c r="X32">
        <v>703436.51309999998</v>
      </c>
      <c r="Y32" t="s">
        <v>114</v>
      </c>
      <c r="Z32">
        <v>5</v>
      </c>
      <c r="AA32" s="2">
        <v>45838.916666666664</v>
      </c>
      <c r="AB32" s="3">
        <v>0.91675925925925927</v>
      </c>
      <c r="AC32" t="s">
        <v>403</v>
      </c>
      <c r="AD32" s="1">
        <v>45838</v>
      </c>
      <c r="AE32" s="2">
        <v>45838.916666666664</v>
      </c>
      <c r="AF32">
        <v>3.7911281585693302</v>
      </c>
      <c r="AG32">
        <v>249.42320251464801</v>
      </c>
      <c r="AH32">
        <v>96.443646740738799</v>
      </c>
      <c r="AI32">
        <v>0</v>
      </c>
      <c r="AJ32">
        <v>246.52093505859301</v>
      </c>
      <c r="AK32">
        <v>76.770628649424197</v>
      </c>
      <c r="AL32">
        <v>96.443646740738799</v>
      </c>
      <c r="AM32">
        <v>6.6489557972859998</v>
      </c>
      <c r="AN32" s="6">
        <v>2423.5414692191498</v>
      </c>
      <c r="AO32">
        <v>5.8744480590943802</v>
      </c>
      <c r="AP32">
        <v>7.4166936510499202</v>
      </c>
      <c r="AQ32">
        <v>2141.2337386571999</v>
      </c>
      <c r="AR32">
        <v>2703.3815798791802</v>
      </c>
      <c r="AS32">
        <v>2141.2337386571999</v>
      </c>
      <c r="AT32">
        <v>2703.3815798791802</v>
      </c>
      <c r="AU32" s="6">
        <v>281.07392061099</v>
      </c>
      <c r="AV32">
        <v>-70.556023465754905</v>
      </c>
    </row>
    <row r="33" spans="1:48" x14ac:dyDescent="0.25">
      <c r="A33" t="s">
        <v>364</v>
      </c>
      <c r="B33" t="s">
        <v>365</v>
      </c>
      <c r="C33">
        <v>1</v>
      </c>
      <c r="D33" t="s">
        <v>415</v>
      </c>
      <c r="E33" s="1">
        <v>45856</v>
      </c>
      <c r="F33">
        <v>7</v>
      </c>
      <c r="G33">
        <v>18</v>
      </c>
      <c r="H33">
        <v>2025</v>
      </c>
      <c r="I33">
        <v>199</v>
      </c>
      <c r="J33">
        <v>-77.448746</v>
      </c>
      <c r="K33">
        <v>169.277041</v>
      </c>
      <c r="L33">
        <v>1071</v>
      </c>
      <c r="M33">
        <v>365.68065200000001</v>
      </c>
      <c r="N33" t="s">
        <v>932</v>
      </c>
      <c r="P33">
        <v>5</v>
      </c>
      <c r="Q33">
        <v>53.438095089999997</v>
      </c>
      <c r="R33">
        <v>36.561904910000003</v>
      </c>
      <c r="S33">
        <v>330.43178269999999</v>
      </c>
      <c r="T33">
        <v>0.25</v>
      </c>
      <c r="U33">
        <v>2</v>
      </c>
      <c r="V33" t="s">
        <v>23</v>
      </c>
      <c r="W33" t="s">
        <v>24</v>
      </c>
      <c r="X33">
        <v>574398.27069999999</v>
      </c>
      <c r="Y33" t="s">
        <v>114</v>
      </c>
      <c r="Z33">
        <v>5</v>
      </c>
      <c r="AA33" s="2">
        <v>45856.856249999997</v>
      </c>
      <c r="AB33" s="3">
        <v>0.85645833333333332</v>
      </c>
      <c r="AC33" t="s">
        <v>416</v>
      </c>
      <c r="AD33" s="1">
        <v>45856</v>
      </c>
      <c r="AE33" s="2">
        <v>45856.856249999997</v>
      </c>
      <c r="AF33">
        <v>2.1054484844207701</v>
      </c>
      <c r="AG33">
        <v>249.17037963867099</v>
      </c>
      <c r="AH33">
        <v>54.9078059290865</v>
      </c>
      <c r="AI33">
        <v>0</v>
      </c>
      <c r="AJ33">
        <v>240.33528137207</v>
      </c>
      <c r="AK33">
        <v>43.6025147014279</v>
      </c>
      <c r="AL33">
        <v>54.9078059290865</v>
      </c>
      <c r="AM33">
        <v>5.12991250613912</v>
      </c>
      <c r="AN33" s="6">
        <v>1875.9097499479001</v>
      </c>
      <c r="AO33">
        <v>4.6561040835510399</v>
      </c>
      <c r="AP33">
        <v>5.6187926524872998</v>
      </c>
      <c r="AQ33">
        <v>1702.6471770528001</v>
      </c>
      <c r="AR33">
        <v>2054.6837606143599</v>
      </c>
      <c r="AS33">
        <v>1702.6471770528001</v>
      </c>
      <c r="AT33">
        <v>2054.6837606143599</v>
      </c>
      <c r="AU33" s="6">
        <v>176.01829178077799</v>
      </c>
      <c r="AV33">
        <v>-50.463111142657297</v>
      </c>
    </row>
    <row r="34" spans="1:48" x14ac:dyDescent="0.25">
      <c r="A34" t="s">
        <v>364</v>
      </c>
      <c r="B34" t="s">
        <v>365</v>
      </c>
      <c r="C34">
        <v>1</v>
      </c>
      <c r="D34" t="s">
        <v>427</v>
      </c>
      <c r="E34" s="1">
        <v>45874</v>
      </c>
      <c r="F34">
        <v>8</v>
      </c>
      <c r="G34">
        <v>5</v>
      </c>
      <c r="H34">
        <v>2025</v>
      </c>
      <c r="I34">
        <v>217</v>
      </c>
      <c r="J34">
        <v>-77.448746</v>
      </c>
      <c r="K34">
        <v>169.277041</v>
      </c>
      <c r="L34">
        <v>1071</v>
      </c>
      <c r="M34">
        <v>254.63182</v>
      </c>
      <c r="N34" t="s">
        <v>932</v>
      </c>
      <c r="P34">
        <v>5</v>
      </c>
      <c r="Q34">
        <v>50.506734809999998</v>
      </c>
      <c r="R34">
        <v>39.493265190000002</v>
      </c>
      <c r="S34">
        <v>320.37645880000002</v>
      </c>
      <c r="T34">
        <v>0.25</v>
      </c>
      <c r="U34">
        <v>2</v>
      </c>
      <c r="V34" t="s">
        <v>23</v>
      </c>
      <c r="W34" t="s">
        <v>4</v>
      </c>
      <c r="X34">
        <v>608759.72210000001</v>
      </c>
      <c r="Y34" t="s">
        <v>114</v>
      </c>
      <c r="Z34">
        <v>5</v>
      </c>
      <c r="AA34" s="2">
        <v>45874.913194444445</v>
      </c>
      <c r="AB34" s="3">
        <v>0.91349537037037032</v>
      </c>
      <c r="AC34" t="s">
        <v>428</v>
      </c>
      <c r="AD34" s="1">
        <v>45874</v>
      </c>
      <c r="AE34" s="2">
        <v>45874.913194444445</v>
      </c>
      <c r="AF34">
        <v>3.0865230560302699</v>
      </c>
      <c r="AG34">
        <v>249.524490356445</v>
      </c>
      <c r="AH34">
        <v>100.43351731656099</v>
      </c>
      <c r="AI34">
        <v>0</v>
      </c>
      <c r="AJ34">
        <v>247.0703125</v>
      </c>
      <c r="AK34">
        <v>80.023688224255196</v>
      </c>
      <c r="AL34">
        <v>100.43351731656099</v>
      </c>
      <c r="AM34">
        <v>6.5684476774865601</v>
      </c>
      <c r="AN34" s="6">
        <v>1672.5357866931699</v>
      </c>
      <c r="AO34">
        <v>5.7890408442028898</v>
      </c>
      <c r="AP34">
        <v>7.3433479348646804</v>
      </c>
      <c r="AQ34">
        <v>1474.0740062137099</v>
      </c>
      <c r="AR34">
        <v>1869.8500495478299</v>
      </c>
      <c r="AS34">
        <v>1474.0740062137099</v>
      </c>
      <c r="AT34">
        <v>1869.8500495478299</v>
      </c>
      <c r="AU34" s="6">
        <v>197.88802166705801</v>
      </c>
      <c r="AV34">
        <v>-69.502419612416503</v>
      </c>
    </row>
    <row r="35" spans="1:48" x14ac:dyDescent="0.25">
      <c r="A35" t="s">
        <v>364</v>
      </c>
      <c r="B35" t="s">
        <v>365</v>
      </c>
      <c r="C35">
        <v>1</v>
      </c>
      <c r="D35" t="s">
        <v>438</v>
      </c>
      <c r="E35" s="1">
        <v>45890</v>
      </c>
      <c r="F35">
        <v>8</v>
      </c>
      <c r="G35">
        <v>21</v>
      </c>
      <c r="H35">
        <v>2025</v>
      </c>
      <c r="I35">
        <v>233</v>
      </c>
      <c r="J35">
        <v>-77.448746</v>
      </c>
      <c r="K35">
        <v>169.277041</v>
      </c>
      <c r="L35">
        <v>1071</v>
      </c>
      <c r="M35">
        <v>230.52832900000001</v>
      </c>
      <c r="N35" t="s">
        <v>939</v>
      </c>
      <c r="P35">
        <v>5</v>
      </c>
      <c r="Q35">
        <v>51.119603679999997</v>
      </c>
      <c r="R35">
        <v>38.880396320000003</v>
      </c>
      <c r="S35">
        <v>323.58181009999998</v>
      </c>
      <c r="T35">
        <v>0.25</v>
      </c>
      <c r="U35">
        <v>2</v>
      </c>
      <c r="V35" t="s">
        <v>23</v>
      </c>
      <c r="W35" t="s">
        <v>4</v>
      </c>
      <c r="X35">
        <v>597208.31640000001</v>
      </c>
      <c r="Y35" t="s">
        <v>114</v>
      </c>
      <c r="Z35">
        <v>5</v>
      </c>
      <c r="AA35" s="2">
        <v>45890.911805555559</v>
      </c>
      <c r="AB35" s="3">
        <v>0.91244212962962967</v>
      </c>
      <c r="AC35" t="s">
        <v>439</v>
      </c>
      <c r="AD35" s="1">
        <v>45890</v>
      </c>
      <c r="AE35" s="2">
        <v>45890.911805555559</v>
      </c>
      <c r="AF35">
        <v>3.8626787662506001</v>
      </c>
      <c r="AG35">
        <v>250.40702819824199</v>
      </c>
      <c r="AH35">
        <v>100.213311782087</v>
      </c>
      <c r="AI35">
        <v>0</v>
      </c>
      <c r="AJ35">
        <v>248.00080871582</v>
      </c>
      <c r="AK35">
        <v>80.522010523206603</v>
      </c>
      <c r="AL35">
        <v>100.213311782087</v>
      </c>
      <c r="AM35">
        <v>6.6939716485916598</v>
      </c>
      <c r="AN35" s="6">
        <v>1543.1500985232101</v>
      </c>
      <c r="AO35">
        <v>5.9070735926532496</v>
      </c>
      <c r="AP35">
        <v>7.4725475990578696</v>
      </c>
      <c r="AQ35">
        <v>1361.7478045943801</v>
      </c>
      <c r="AR35">
        <v>1722.6339113837701</v>
      </c>
      <c r="AS35">
        <v>1361.7478045943801</v>
      </c>
      <c r="AT35">
        <v>1722.6339113837701</v>
      </c>
      <c r="AU35" s="6">
        <v>180.443053394695</v>
      </c>
      <c r="AV35">
        <v>-71.145542377033394</v>
      </c>
    </row>
    <row r="36" spans="1:48" x14ac:dyDescent="0.25">
      <c r="A36" t="s">
        <v>451</v>
      </c>
      <c r="B36" t="s">
        <v>452</v>
      </c>
      <c r="C36">
        <v>1</v>
      </c>
      <c r="D36" t="s">
        <v>453</v>
      </c>
      <c r="E36" s="1">
        <v>45771</v>
      </c>
      <c r="F36">
        <v>4</v>
      </c>
      <c r="G36">
        <v>24</v>
      </c>
      <c r="H36">
        <v>2025</v>
      </c>
      <c r="I36">
        <v>114</v>
      </c>
      <c r="J36">
        <v>-76.177379999999999</v>
      </c>
      <c r="K36">
        <v>168.394475</v>
      </c>
      <c r="L36">
        <v>6352</v>
      </c>
      <c r="M36">
        <v>609.83833000000004</v>
      </c>
      <c r="N36" t="s">
        <v>919</v>
      </c>
      <c r="P36">
        <v>4</v>
      </c>
      <c r="Q36">
        <v>54.390131189999998</v>
      </c>
      <c r="R36">
        <v>35.609868810000002</v>
      </c>
      <c r="S36">
        <v>188.55541719999999</v>
      </c>
      <c r="T36">
        <v>0.25</v>
      </c>
      <c r="U36">
        <v>2</v>
      </c>
      <c r="V36" t="s">
        <v>3</v>
      </c>
      <c r="W36" t="s">
        <v>24</v>
      </c>
      <c r="X36">
        <v>608312.09120000002</v>
      </c>
      <c r="Y36" t="s">
        <v>114</v>
      </c>
      <c r="Z36">
        <v>4</v>
      </c>
      <c r="AA36" s="2">
        <v>45771.59097222222</v>
      </c>
      <c r="AB36" s="3">
        <v>0.59143518518518523</v>
      </c>
      <c r="AC36" t="s">
        <v>454</v>
      </c>
      <c r="AD36" s="1">
        <v>45771</v>
      </c>
      <c r="AE36" s="2">
        <v>45771.59097222222</v>
      </c>
      <c r="AF36">
        <v>3.95887899398803</v>
      </c>
      <c r="AG36">
        <v>252.11228942871</v>
      </c>
      <c r="AH36">
        <v>97.018922879266697</v>
      </c>
      <c r="AI36">
        <v>0</v>
      </c>
      <c r="AJ36">
        <v>249.48820495605401</v>
      </c>
      <c r="AK36">
        <v>79.23437887</v>
      </c>
      <c r="AL36">
        <v>97.018922879266697</v>
      </c>
      <c r="AM36">
        <v>6.50198493794875</v>
      </c>
      <c r="AN36" s="6">
        <v>3965.1596362438199</v>
      </c>
      <c r="AO36">
        <v>5.7513184370804904</v>
      </c>
      <c r="AP36">
        <v>7.2502764416499001</v>
      </c>
      <c r="AQ36">
        <v>3507.3744309673798</v>
      </c>
      <c r="AR36">
        <v>4421.4964772141202</v>
      </c>
      <c r="AS36">
        <v>3507.3744309673798</v>
      </c>
      <c r="AT36">
        <v>4421.4964772141202</v>
      </c>
      <c r="AU36" s="6">
        <v>457.06102312336998</v>
      </c>
      <c r="AV36">
        <v>-68.633118026808603</v>
      </c>
    </row>
    <row r="37" spans="1:48" x14ac:dyDescent="0.25">
      <c r="A37" t="s">
        <v>451</v>
      </c>
      <c r="B37" t="s">
        <v>452</v>
      </c>
      <c r="C37">
        <v>1</v>
      </c>
      <c r="D37" t="s">
        <v>464</v>
      </c>
      <c r="E37" s="1">
        <v>45799</v>
      </c>
      <c r="F37">
        <v>5</v>
      </c>
      <c r="G37">
        <v>22</v>
      </c>
      <c r="H37">
        <v>2025</v>
      </c>
      <c r="I37">
        <v>142</v>
      </c>
      <c r="J37">
        <v>-76.177379999999999</v>
      </c>
      <c r="K37">
        <v>168.394475</v>
      </c>
      <c r="L37">
        <v>6352</v>
      </c>
      <c r="M37">
        <v>1202.21264</v>
      </c>
      <c r="N37" t="s">
        <v>919</v>
      </c>
      <c r="P37">
        <v>5</v>
      </c>
      <c r="Q37">
        <v>49.42977965</v>
      </c>
      <c r="R37">
        <v>40.57022035</v>
      </c>
      <c r="S37">
        <v>132.7403467</v>
      </c>
      <c r="T37">
        <v>0.25</v>
      </c>
      <c r="U37">
        <v>2</v>
      </c>
      <c r="V37" t="s">
        <v>3</v>
      </c>
      <c r="W37" t="s">
        <v>4</v>
      </c>
      <c r="X37">
        <v>742252.77410000004</v>
      </c>
      <c r="Y37" t="s">
        <v>114</v>
      </c>
      <c r="Z37">
        <v>5</v>
      </c>
      <c r="AA37" s="2">
        <v>45799.823611111111</v>
      </c>
      <c r="AB37" s="3">
        <v>0.82400462962962961</v>
      </c>
      <c r="AC37" t="s">
        <v>465</v>
      </c>
      <c r="AD37" s="1">
        <v>45799</v>
      </c>
      <c r="AE37" s="2">
        <v>45799.823611111111</v>
      </c>
      <c r="AF37">
        <v>3.5591464042663499</v>
      </c>
      <c r="AG37">
        <v>251.35653686523401</v>
      </c>
      <c r="AH37">
        <v>93.4750660097083</v>
      </c>
      <c r="AI37">
        <v>0</v>
      </c>
      <c r="AJ37">
        <v>248.26037597656199</v>
      </c>
      <c r="AK37">
        <v>75.791054720000005</v>
      </c>
      <c r="AL37">
        <v>93.4750660097083</v>
      </c>
      <c r="AM37">
        <v>6.3613715101275901</v>
      </c>
      <c r="AN37" s="6">
        <v>7647.7212372112799</v>
      </c>
      <c r="AO37">
        <v>5.6332423687503503</v>
      </c>
      <c r="AP37">
        <v>7.0908852642068902</v>
      </c>
      <c r="AQ37">
        <v>6772.3551798952103</v>
      </c>
      <c r="AR37">
        <v>8524.7518934192594</v>
      </c>
      <c r="AS37">
        <v>6772.3551798952103</v>
      </c>
      <c r="AT37">
        <v>8524.7518934192594</v>
      </c>
      <c r="AU37" s="6">
        <v>876.19835676202104</v>
      </c>
      <c r="AV37">
        <v>-66.794536358398503</v>
      </c>
    </row>
    <row r="38" spans="1:48" x14ac:dyDescent="0.25">
      <c r="A38" t="s">
        <v>451</v>
      </c>
      <c r="B38" t="s">
        <v>452</v>
      </c>
      <c r="C38">
        <v>1</v>
      </c>
      <c r="D38" t="s">
        <v>476</v>
      </c>
      <c r="E38" s="1">
        <v>45822</v>
      </c>
      <c r="F38">
        <v>6</v>
      </c>
      <c r="G38">
        <v>14</v>
      </c>
      <c r="H38">
        <v>2025</v>
      </c>
      <c r="I38">
        <v>165</v>
      </c>
      <c r="J38">
        <v>-76.177379999999999</v>
      </c>
      <c r="K38">
        <v>168.394475</v>
      </c>
      <c r="L38">
        <v>6352</v>
      </c>
      <c r="M38">
        <v>1198.0335230000001</v>
      </c>
      <c r="N38" t="s">
        <v>919</v>
      </c>
      <c r="P38">
        <v>5</v>
      </c>
      <c r="Q38">
        <v>54.810092210000001</v>
      </c>
      <c r="R38">
        <v>35.189907789999999</v>
      </c>
      <c r="S38">
        <v>102.56852259999999</v>
      </c>
      <c r="T38">
        <v>0.25</v>
      </c>
      <c r="U38">
        <v>2</v>
      </c>
      <c r="V38" t="s">
        <v>3</v>
      </c>
      <c r="W38" t="s">
        <v>24</v>
      </c>
      <c r="X38">
        <v>591276.3639</v>
      </c>
      <c r="Y38" t="s">
        <v>114</v>
      </c>
      <c r="Z38">
        <v>5</v>
      </c>
      <c r="AA38" s="2">
        <v>45822.527083333334</v>
      </c>
      <c r="AB38" s="3">
        <v>0.5276967592592593</v>
      </c>
      <c r="AC38" t="s">
        <v>477</v>
      </c>
      <c r="AD38" s="1">
        <v>45822</v>
      </c>
      <c r="AE38" s="2">
        <v>45822.527083333334</v>
      </c>
      <c r="AF38">
        <v>4.4068880081176696</v>
      </c>
      <c r="AG38">
        <v>259.98138427734301</v>
      </c>
      <c r="AH38">
        <v>100.770397385153</v>
      </c>
      <c r="AI38">
        <v>0</v>
      </c>
      <c r="AJ38">
        <v>258.52908325195301</v>
      </c>
      <c r="AK38">
        <v>88.758435722819897</v>
      </c>
      <c r="AL38">
        <v>100.770397385153</v>
      </c>
      <c r="AM38">
        <v>6.1167785953590696</v>
      </c>
      <c r="AN38" s="6">
        <v>7328.1058100090204</v>
      </c>
      <c r="AO38">
        <v>5.4274141150961004</v>
      </c>
      <c r="AP38">
        <v>6.8131155575172198</v>
      </c>
      <c r="AQ38">
        <v>6502.2240530885101</v>
      </c>
      <c r="AR38">
        <v>8162.3408339784601</v>
      </c>
      <c r="AS38">
        <v>6502.2240530885101</v>
      </c>
      <c r="AT38">
        <v>8162.3408339784601</v>
      </c>
      <c r="AU38" s="6">
        <v>830.05839044497202</v>
      </c>
      <c r="AV38">
        <v>-63.5937310828443</v>
      </c>
    </row>
    <row r="39" spans="1:48" x14ac:dyDescent="0.25">
      <c r="A39" t="s">
        <v>451</v>
      </c>
      <c r="B39" t="s">
        <v>452</v>
      </c>
      <c r="C39">
        <v>1</v>
      </c>
      <c r="D39" t="s">
        <v>488</v>
      </c>
      <c r="E39" s="1">
        <v>45838</v>
      </c>
      <c r="F39">
        <v>6</v>
      </c>
      <c r="G39">
        <v>30</v>
      </c>
      <c r="H39">
        <v>2025</v>
      </c>
      <c r="I39">
        <v>181</v>
      </c>
      <c r="J39">
        <v>-76.177379999999999</v>
      </c>
      <c r="K39">
        <v>168.394475</v>
      </c>
      <c r="L39">
        <v>6352</v>
      </c>
      <c r="M39">
        <v>647.33690200000001</v>
      </c>
      <c r="N39" t="s">
        <v>932</v>
      </c>
      <c r="P39">
        <v>5</v>
      </c>
      <c r="Q39">
        <v>48.88147172</v>
      </c>
      <c r="R39">
        <v>41.11852828</v>
      </c>
      <c r="S39">
        <v>82.169804630000002</v>
      </c>
      <c r="T39">
        <v>0.25</v>
      </c>
      <c r="U39">
        <v>2</v>
      </c>
      <c r="V39" t="s">
        <v>3</v>
      </c>
      <c r="W39" t="s">
        <v>4</v>
      </c>
      <c r="X39">
        <v>746581.35860000004</v>
      </c>
      <c r="Y39" t="s">
        <v>114</v>
      </c>
      <c r="Z39">
        <v>5</v>
      </c>
      <c r="AA39" s="2">
        <v>45838.522222222222</v>
      </c>
      <c r="AB39" s="3">
        <v>0.52290509259259255</v>
      </c>
      <c r="AC39" t="s">
        <v>489</v>
      </c>
      <c r="AD39" s="1">
        <v>45838</v>
      </c>
      <c r="AE39" s="2">
        <v>45838.522222222222</v>
      </c>
      <c r="AF39">
        <v>2.46426081657409</v>
      </c>
      <c r="AG39">
        <v>252.33294677734301</v>
      </c>
      <c r="AH39">
        <v>99.766090656307298</v>
      </c>
      <c r="AI39">
        <v>0</v>
      </c>
      <c r="AJ39">
        <v>250.03919982910099</v>
      </c>
      <c r="AK39">
        <v>81.6500076588826</v>
      </c>
      <c r="AL39">
        <v>99.766090656307298</v>
      </c>
      <c r="AM39">
        <v>6.1760887957594601</v>
      </c>
      <c r="AN39" s="6">
        <v>3998.0101875238402</v>
      </c>
      <c r="AO39">
        <v>5.4512995359242797</v>
      </c>
      <c r="AP39">
        <v>6.9070380455098697</v>
      </c>
      <c r="AQ39">
        <v>3528.8273534592599</v>
      </c>
      <c r="AR39">
        <v>4471.1806103764902</v>
      </c>
      <c r="AS39">
        <v>3528.8273534592599</v>
      </c>
      <c r="AT39">
        <v>4471.1806103764902</v>
      </c>
      <c r="AU39" s="6">
        <v>471.17662845861599</v>
      </c>
      <c r="AV39">
        <v>-64.370568604069206</v>
      </c>
    </row>
    <row r="40" spans="1:48" x14ac:dyDescent="0.25">
      <c r="A40" t="s">
        <v>451</v>
      </c>
      <c r="B40" t="s">
        <v>452</v>
      </c>
      <c r="C40">
        <v>1</v>
      </c>
      <c r="D40" t="s">
        <v>501</v>
      </c>
      <c r="E40" s="1">
        <v>45860</v>
      </c>
      <c r="F40">
        <v>7</v>
      </c>
      <c r="G40">
        <v>22</v>
      </c>
      <c r="H40">
        <v>2025</v>
      </c>
      <c r="I40">
        <v>203</v>
      </c>
      <c r="J40">
        <v>-76.177379999999999</v>
      </c>
      <c r="K40">
        <v>168.394475</v>
      </c>
      <c r="L40">
        <v>6352</v>
      </c>
      <c r="M40">
        <v>792.97683600000005</v>
      </c>
      <c r="N40" t="s">
        <v>932</v>
      </c>
      <c r="P40">
        <v>5</v>
      </c>
      <c r="Q40">
        <v>48.313059989999999</v>
      </c>
      <c r="R40">
        <v>41.686940010000001</v>
      </c>
      <c r="S40">
        <v>74.466050229999993</v>
      </c>
      <c r="T40">
        <v>0.25</v>
      </c>
      <c r="U40">
        <v>2</v>
      </c>
      <c r="V40" t="s">
        <v>3</v>
      </c>
      <c r="W40" t="s">
        <v>4</v>
      </c>
      <c r="X40">
        <v>748860.26210000005</v>
      </c>
      <c r="Y40" t="s">
        <v>114</v>
      </c>
      <c r="Z40">
        <v>5</v>
      </c>
      <c r="AA40" s="2">
        <v>45860.522222222222</v>
      </c>
      <c r="AB40" s="3">
        <v>0.52262731481481484</v>
      </c>
      <c r="AC40" t="s">
        <v>502</v>
      </c>
      <c r="AD40" s="1">
        <v>45860</v>
      </c>
      <c r="AE40" s="2">
        <v>45860.522222222222</v>
      </c>
      <c r="AF40">
        <v>0.62150758504867498</v>
      </c>
      <c r="AG40">
        <v>251.24154663085901</v>
      </c>
      <c r="AH40">
        <v>99.938581458021005</v>
      </c>
      <c r="AI40">
        <v>0</v>
      </c>
      <c r="AJ40">
        <v>248.87438964843699</v>
      </c>
      <c r="AK40">
        <v>80.9428877933058</v>
      </c>
      <c r="AL40">
        <v>99.938581458021005</v>
      </c>
      <c r="AM40">
        <v>5.7933073247234104</v>
      </c>
      <c r="AN40" s="6">
        <v>4593.9585123347897</v>
      </c>
      <c r="AO40">
        <v>5.1070304443163996</v>
      </c>
      <c r="AP40">
        <v>6.4942565057306503</v>
      </c>
      <c r="AQ40">
        <v>4049.7568430896999</v>
      </c>
      <c r="AR40">
        <v>5149.7949760867104</v>
      </c>
      <c r="AS40">
        <v>4049.7568430896999</v>
      </c>
      <c r="AT40">
        <v>5149.7949760867104</v>
      </c>
      <c r="AU40" s="6">
        <v>550.01906649850605</v>
      </c>
      <c r="AV40">
        <v>-59.341621820164001</v>
      </c>
    </row>
    <row r="41" spans="1:48" x14ac:dyDescent="0.25">
      <c r="A41" t="s">
        <v>451</v>
      </c>
      <c r="B41" t="s">
        <v>452</v>
      </c>
      <c r="C41">
        <v>1</v>
      </c>
      <c r="D41" t="s">
        <v>514</v>
      </c>
      <c r="E41" s="1">
        <v>45875</v>
      </c>
      <c r="F41">
        <v>8</v>
      </c>
      <c r="G41">
        <v>6</v>
      </c>
      <c r="H41">
        <v>2025</v>
      </c>
      <c r="I41">
        <v>218</v>
      </c>
      <c r="J41">
        <v>-76.177379999999999</v>
      </c>
      <c r="K41">
        <v>168.394475</v>
      </c>
      <c r="L41">
        <v>6352</v>
      </c>
      <c r="M41">
        <v>596.14697899999999</v>
      </c>
      <c r="N41" t="s">
        <v>932</v>
      </c>
      <c r="P41">
        <v>5</v>
      </c>
      <c r="Q41">
        <v>48.819688370000001</v>
      </c>
      <c r="R41">
        <v>41.180311629999999</v>
      </c>
      <c r="S41">
        <v>80.703890349999995</v>
      </c>
      <c r="T41">
        <v>0.25</v>
      </c>
      <c r="U41">
        <v>2</v>
      </c>
      <c r="V41" t="s">
        <v>3</v>
      </c>
      <c r="W41" t="s">
        <v>4</v>
      </c>
      <c r="X41">
        <v>597895.92929999996</v>
      </c>
      <c r="Y41" t="s">
        <v>114</v>
      </c>
      <c r="Z41">
        <v>5</v>
      </c>
      <c r="AA41" s="2">
        <v>45875.469444444447</v>
      </c>
      <c r="AB41" s="3">
        <v>0.47001157407407407</v>
      </c>
      <c r="AC41" t="s">
        <v>515</v>
      </c>
      <c r="AD41" s="1">
        <v>45875</v>
      </c>
      <c r="AE41" s="2">
        <v>45875.469444444447</v>
      </c>
      <c r="AF41">
        <v>5.0728702545165998</v>
      </c>
      <c r="AG41">
        <v>248.35963439941401</v>
      </c>
      <c r="AH41">
        <v>106.276947399728</v>
      </c>
      <c r="AI41">
        <v>0</v>
      </c>
      <c r="AJ41">
        <v>246.42297363281199</v>
      </c>
      <c r="AK41">
        <v>83.747594793251096</v>
      </c>
      <c r="AL41">
        <v>106.276947399728</v>
      </c>
      <c r="AM41">
        <v>7.3191929220998002</v>
      </c>
      <c r="AN41" s="6">
        <v>4363.3147492279704</v>
      </c>
      <c r="AO41">
        <v>6.45182707481744</v>
      </c>
      <c r="AP41">
        <v>8.1540914234891506</v>
      </c>
      <c r="AQ41">
        <v>3846.2372196828201</v>
      </c>
      <c r="AR41">
        <v>4861.0369686028698</v>
      </c>
      <c r="AS41">
        <v>3846.2372196828201</v>
      </c>
      <c r="AT41">
        <v>4861.0369686028698</v>
      </c>
      <c r="AU41" s="6">
        <v>507.39987446001999</v>
      </c>
      <c r="AV41">
        <v>-79.397133247768807</v>
      </c>
    </row>
    <row r="42" spans="1:48" x14ac:dyDescent="0.25">
      <c r="A42" t="s">
        <v>451</v>
      </c>
      <c r="B42" t="s">
        <v>452</v>
      </c>
      <c r="C42">
        <v>1</v>
      </c>
      <c r="D42" t="s">
        <v>526</v>
      </c>
      <c r="E42" s="1">
        <v>45893</v>
      </c>
      <c r="F42">
        <v>8</v>
      </c>
      <c r="G42">
        <v>24</v>
      </c>
      <c r="H42">
        <v>2025</v>
      </c>
      <c r="I42">
        <v>236</v>
      </c>
      <c r="J42">
        <v>-76.177379999999999</v>
      </c>
      <c r="K42">
        <v>168.394475</v>
      </c>
      <c r="L42">
        <v>6352</v>
      </c>
      <c r="M42">
        <v>830.181873</v>
      </c>
      <c r="N42" t="s">
        <v>939</v>
      </c>
      <c r="P42">
        <v>5</v>
      </c>
      <c r="Q42">
        <v>54.780441510000003</v>
      </c>
      <c r="R42">
        <v>35.219558489999997</v>
      </c>
      <c r="S42">
        <v>103.2578898</v>
      </c>
      <c r="T42">
        <v>0.25</v>
      </c>
      <c r="U42">
        <v>2</v>
      </c>
      <c r="V42" t="s">
        <v>3</v>
      </c>
      <c r="W42" t="s">
        <v>24</v>
      </c>
      <c r="X42">
        <v>689572.18700000003</v>
      </c>
      <c r="Y42" t="s">
        <v>114</v>
      </c>
      <c r="Z42">
        <v>5</v>
      </c>
      <c r="AA42" s="2">
        <v>45893.540972222225</v>
      </c>
      <c r="AB42" s="3">
        <v>0.54140046296296296</v>
      </c>
      <c r="AC42" t="s">
        <v>527</v>
      </c>
      <c r="AD42" s="1">
        <v>45893</v>
      </c>
      <c r="AE42" s="2">
        <v>45893.540972222225</v>
      </c>
      <c r="AF42">
        <v>14.899229049682599</v>
      </c>
      <c r="AG42">
        <v>257.10867309570301</v>
      </c>
      <c r="AH42">
        <v>87.862899498349606</v>
      </c>
      <c r="AI42">
        <v>0</v>
      </c>
      <c r="AJ42">
        <v>253.76763916015599</v>
      </c>
      <c r="AK42">
        <v>75.278636700000007</v>
      </c>
      <c r="AL42">
        <v>87.862899498349606</v>
      </c>
      <c r="AM42">
        <v>8.5894324029997406</v>
      </c>
      <c r="AN42" s="6">
        <v>7130.7910803292198</v>
      </c>
      <c r="AO42">
        <v>7.7626701624021903</v>
      </c>
      <c r="AP42">
        <v>9.3419160083105108</v>
      </c>
      <c r="AQ42">
        <v>6444.4280549042696</v>
      </c>
      <c r="AR42">
        <v>7755.4893291878998</v>
      </c>
      <c r="AS42">
        <v>6444.4280549042696</v>
      </c>
      <c r="AT42">
        <v>7755.4893291878998</v>
      </c>
      <c r="AU42" s="6">
        <v>655.53063714181701</v>
      </c>
      <c r="AV42">
        <v>-97.096702418534306</v>
      </c>
    </row>
    <row r="43" spans="1:48" x14ac:dyDescent="0.25">
      <c r="A43" t="s">
        <v>538</v>
      </c>
      <c r="B43" t="s">
        <v>539</v>
      </c>
      <c r="C43">
        <v>1</v>
      </c>
      <c r="D43" t="s">
        <v>540</v>
      </c>
      <c r="E43" s="1">
        <v>45772</v>
      </c>
      <c r="F43">
        <v>4</v>
      </c>
      <c r="G43">
        <v>25</v>
      </c>
      <c r="H43">
        <v>2025</v>
      </c>
      <c r="I43">
        <v>115</v>
      </c>
      <c r="J43">
        <v>-71.983065999999994</v>
      </c>
      <c r="K43">
        <v>170.60781700000001</v>
      </c>
      <c r="L43">
        <v>7985</v>
      </c>
      <c r="M43">
        <v>1533.697375</v>
      </c>
      <c r="N43" t="s">
        <v>919</v>
      </c>
      <c r="P43">
        <v>2</v>
      </c>
      <c r="Q43">
        <v>48.313753920000003</v>
      </c>
      <c r="R43">
        <v>41.686246079999997</v>
      </c>
      <c r="S43">
        <v>232.0802367</v>
      </c>
      <c r="T43">
        <v>0.25</v>
      </c>
      <c r="U43">
        <v>2</v>
      </c>
      <c r="V43" t="s">
        <v>3</v>
      </c>
      <c r="W43" t="s">
        <v>4</v>
      </c>
      <c r="X43">
        <v>637469.52899999998</v>
      </c>
      <c r="Y43" t="s">
        <v>5</v>
      </c>
      <c r="Z43">
        <v>2</v>
      </c>
      <c r="AA43" s="2">
        <v>45772.513888888891</v>
      </c>
      <c r="AB43" s="3">
        <v>0.51394675925925926</v>
      </c>
      <c r="AC43" t="s">
        <v>541</v>
      </c>
      <c r="AD43" s="1">
        <v>45772</v>
      </c>
      <c r="AE43" s="2">
        <v>45772.513888888891</v>
      </c>
      <c r="AF43">
        <v>4.9608750343322701</v>
      </c>
      <c r="AG43">
        <v>251.87249755859301</v>
      </c>
      <c r="AH43">
        <v>69.140813980405696</v>
      </c>
      <c r="AI43">
        <v>0</v>
      </c>
      <c r="AJ43">
        <v>245.530349731445</v>
      </c>
      <c r="AK43">
        <v>56.337368878182097</v>
      </c>
      <c r="AL43">
        <v>69.140813980405696</v>
      </c>
      <c r="AM43">
        <v>6.0237233775370402</v>
      </c>
      <c r="AN43" s="6">
        <v>9238.5687318547007</v>
      </c>
      <c r="AO43">
        <v>5.4123331182982701</v>
      </c>
      <c r="AP43">
        <v>6.6423326386016601</v>
      </c>
      <c r="AQ43">
        <v>8300.88109615963</v>
      </c>
      <c r="AR43">
        <v>10187.3281317001</v>
      </c>
      <c r="AS43">
        <v>8300.88109615963</v>
      </c>
      <c r="AT43">
        <v>10187.3281317001</v>
      </c>
      <c r="AU43" s="6">
        <v>943.22351777028302</v>
      </c>
      <c r="AV43">
        <v>-62.373504773418901</v>
      </c>
    </row>
    <row r="44" spans="1:48" x14ac:dyDescent="0.25">
      <c r="A44" t="s">
        <v>538</v>
      </c>
      <c r="B44" t="s">
        <v>539</v>
      </c>
      <c r="C44">
        <v>1</v>
      </c>
      <c r="D44" t="s">
        <v>552</v>
      </c>
      <c r="E44" s="1">
        <v>45799</v>
      </c>
      <c r="F44">
        <v>5</v>
      </c>
      <c r="G44">
        <v>22</v>
      </c>
      <c r="H44">
        <v>2025</v>
      </c>
      <c r="I44">
        <v>142</v>
      </c>
      <c r="J44">
        <v>-71.983065999999994</v>
      </c>
      <c r="K44">
        <v>170.60781700000001</v>
      </c>
      <c r="L44">
        <v>7985</v>
      </c>
      <c r="M44">
        <v>1615.4937219999999</v>
      </c>
      <c r="N44" t="s">
        <v>919</v>
      </c>
      <c r="P44">
        <v>3</v>
      </c>
      <c r="Q44">
        <v>53.743977149999999</v>
      </c>
      <c r="R44">
        <v>36.256022850000001</v>
      </c>
      <c r="S44">
        <v>200.44431209999999</v>
      </c>
      <c r="T44">
        <v>0.25</v>
      </c>
      <c r="U44">
        <v>2</v>
      </c>
      <c r="V44" t="s">
        <v>3</v>
      </c>
      <c r="W44" t="s">
        <v>24</v>
      </c>
      <c r="X44">
        <v>602852.73569999996</v>
      </c>
      <c r="Y44" t="s">
        <v>5</v>
      </c>
      <c r="Z44">
        <v>3</v>
      </c>
      <c r="AA44" s="2">
        <v>45799.552083333336</v>
      </c>
      <c r="AB44" s="3">
        <v>0.55251157407407403</v>
      </c>
      <c r="AC44" t="s">
        <v>553</v>
      </c>
      <c r="AD44" s="1">
        <v>45799</v>
      </c>
      <c r="AE44" s="2">
        <v>45799.552083333336</v>
      </c>
      <c r="AF44">
        <v>5.8069615364074698</v>
      </c>
      <c r="AG44">
        <v>254.43054199218699</v>
      </c>
      <c r="AH44">
        <v>71.828730786178596</v>
      </c>
      <c r="AI44">
        <v>0</v>
      </c>
      <c r="AJ44">
        <v>248.62918090820301</v>
      </c>
      <c r="AK44">
        <v>59.978353738084401</v>
      </c>
      <c r="AL44">
        <v>71.828730786178596</v>
      </c>
      <c r="AM44">
        <v>6.1175854618169803</v>
      </c>
      <c r="AN44" s="6">
        <v>9882.9209073638103</v>
      </c>
      <c r="AO44">
        <v>5.4982304405551599</v>
      </c>
      <c r="AP44">
        <v>6.74254748423221</v>
      </c>
      <c r="AQ44">
        <v>8882.3567588261594</v>
      </c>
      <c r="AR44">
        <v>10892.543131064</v>
      </c>
      <c r="AS44">
        <v>8882.3567588261594</v>
      </c>
      <c r="AT44">
        <v>10892.543131064</v>
      </c>
      <c r="AU44" s="6">
        <v>1005.09318611893</v>
      </c>
      <c r="AV44">
        <v>-63.604303505892503</v>
      </c>
    </row>
    <row r="45" spans="1:48" x14ac:dyDescent="0.25">
      <c r="A45" t="s">
        <v>538</v>
      </c>
      <c r="B45" t="s">
        <v>539</v>
      </c>
      <c r="C45">
        <v>1</v>
      </c>
      <c r="D45" t="s">
        <v>565</v>
      </c>
      <c r="E45" s="1">
        <v>45821</v>
      </c>
      <c r="F45">
        <v>6</v>
      </c>
      <c r="G45">
        <v>13</v>
      </c>
      <c r="H45">
        <v>2025</v>
      </c>
      <c r="I45">
        <v>164</v>
      </c>
      <c r="J45">
        <v>-71.983065999999994</v>
      </c>
      <c r="K45">
        <v>170.60781700000001</v>
      </c>
      <c r="L45">
        <v>7985</v>
      </c>
      <c r="M45">
        <v>1280.4804710000001</v>
      </c>
      <c r="N45" t="s">
        <v>919</v>
      </c>
      <c r="P45">
        <v>2</v>
      </c>
      <c r="Q45">
        <v>49.14268448</v>
      </c>
      <c r="R45">
        <v>40.85731552</v>
      </c>
      <c r="S45">
        <v>87.265897629999998</v>
      </c>
      <c r="T45">
        <v>0.25</v>
      </c>
      <c r="U45">
        <v>2</v>
      </c>
      <c r="V45" t="s">
        <v>3</v>
      </c>
      <c r="W45" t="s">
        <v>4</v>
      </c>
      <c r="X45">
        <v>743205.06200000003</v>
      </c>
      <c r="Y45" t="s">
        <v>5</v>
      </c>
      <c r="Z45">
        <v>2</v>
      </c>
      <c r="AA45" s="2">
        <v>45821.505555555559</v>
      </c>
      <c r="AB45" s="3">
        <v>0.50569444444444445</v>
      </c>
      <c r="AC45" t="s">
        <v>566</v>
      </c>
      <c r="AD45" s="1">
        <v>45821</v>
      </c>
      <c r="AE45" s="2">
        <v>45821.505555555559</v>
      </c>
      <c r="AF45">
        <v>3.2444174289703298</v>
      </c>
      <c r="AG45">
        <v>261.5397949</v>
      </c>
      <c r="AH45">
        <v>54.933938650599003</v>
      </c>
      <c r="AI45">
        <v>0</v>
      </c>
      <c r="AJ45">
        <v>253.03645324707</v>
      </c>
      <c r="AK45">
        <v>49.118057988419999</v>
      </c>
      <c r="AL45">
        <v>54.933938650599003</v>
      </c>
      <c r="AM45">
        <v>4.5175930274473899</v>
      </c>
      <c r="AN45" s="6">
        <v>5784.6896475721496</v>
      </c>
      <c r="AO45">
        <v>4.1677735846848902</v>
      </c>
      <c r="AP45">
        <v>4.8802321003932798</v>
      </c>
      <c r="AQ45">
        <v>5336.75268273866</v>
      </c>
      <c r="AR45">
        <v>6249.0418985009101</v>
      </c>
      <c r="AS45">
        <v>5336.75268273866</v>
      </c>
      <c r="AT45">
        <v>6249.0418985009101</v>
      </c>
      <c r="AU45" s="6">
        <v>456.14460788112399</v>
      </c>
      <c r="AV45">
        <v>-41.923512336434101</v>
      </c>
    </row>
    <row r="46" spans="1:48" x14ac:dyDescent="0.25">
      <c r="A46" t="s">
        <v>538</v>
      </c>
      <c r="B46" t="s">
        <v>539</v>
      </c>
      <c r="C46">
        <v>1</v>
      </c>
      <c r="D46" t="s">
        <v>576</v>
      </c>
      <c r="E46" s="1">
        <v>45838</v>
      </c>
      <c r="F46">
        <v>6</v>
      </c>
      <c r="G46">
        <v>30</v>
      </c>
      <c r="H46">
        <v>2025</v>
      </c>
      <c r="I46">
        <v>181</v>
      </c>
      <c r="J46">
        <v>-71.983065999999994</v>
      </c>
      <c r="K46">
        <v>170.60781700000001</v>
      </c>
      <c r="L46">
        <v>7985</v>
      </c>
      <c r="M46">
        <v>1466.330336</v>
      </c>
      <c r="N46" t="s">
        <v>932</v>
      </c>
      <c r="P46">
        <v>3</v>
      </c>
      <c r="Q46">
        <v>53.418079329999998</v>
      </c>
      <c r="R46">
        <v>36.581920670000002</v>
      </c>
      <c r="S46">
        <v>107.9107977</v>
      </c>
      <c r="T46">
        <v>0.25</v>
      </c>
      <c r="U46">
        <v>2</v>
      </c>
      <c r="V46" t="s">
        <v>3</v>
      </c>
      <c r="W46" t="s">
        <v>4</v>
      </c>
      <c r="X46">
        <v>597717.57030000002</v>
      </c>
      <c r="Y46" t="s">
        <v>5</v>
      </c>
      <c r="Z46">
        <v>3</v>
      </c>
      <c r="AA46" s="2">
        <v>45838.506249999999</v>
      </c>
      <c r="AB46" s="3">
        <v>0.50648148148148153</v>
      </c>
      <c r="AC46" t="s">
        <v>577</v>
      </c>
      <c r="AD46" s="1">
        <v>45838</v>
      </c>
      <c r="AE46" s="2">
        <v>45838.506249999999</v>
      </c>
      <c r="AF46">
        <v>0.35681539773941001</v>
      </c>
      <c r="AG46">
        <v>249.86315917968699</v>
      </c>
      <c r="AH46">
        <v>102.900742554304</v>
      </c>
      <c r="AI46">
        <v>0</v>
      </c>
      <c r="AJ46">
        <v>247.701889038085</v>
      </c>
      <c r="AK46">
        <v>82.254194522503099</v>
      </c>
      <c r="AL46">
        <v>102.900742554304</v>
      </c>
      <c r="AM46">
        <v>5.9100442159644198</v>
      </c>
      <c r="AN46" s="6">
        <v>8666.0771209699706</v>
      </c>
      <c r="AO46">
        <v>5.1948814075648704</v>
      </c>
      <c r="AP46">
        <v>6.6380640233878196</v>
      </c>
      <c r="AQ46">
        <v>7617.41219983475</v>
      </c>
      <c r="AR46">
        <v>9733.5946498037702</v>
      </c>
      <c r="AS46">
        <v>7617.41219983475</v>
      </c>
      <c r="AT46">
        <v>9733.5946498037702</v>
      </c>
      <c r="AU46" s="6">
        <v>1058.0912249845101</v>
      </c>
      <c r="AV46">
        <v>-60.879841411907698</v>
      </c>
    </row>
    <row r="47" spans="1:48" x14ac:dyDescent="0.25">
      <c r="A47" t="s">
        <v>538</v>
      </c>
      <c r="B47" t="s">
        <v>539</v>
      </c>
      <c r="C47">
        <v>1</v>
      </c>
      <c r="D47" t="s">
        <v>589</v>
      </c>
      <c r="E47" s="1">
        <v>45856</v>
      </c>
      <c r="F47">
        <v>7</v>
      </c>
      <c r="G47">
        <v>18</v>
      </c>
      <c r="H47">
        <v>2025</v>
      </c>
      <c r="I47">
        <v>199</v>
      </c>
      <c r="J47">
        <v>-71.983065999999994</v>
      </c>
      <c r="K47">
        <v>170.60781700000001</v>
      </c>
      <c r="L47">
        <v>7985</v>
      </c>
      <c r="M47">
        <v>1270.150551</v>
      </c>
      <c r="N47" t="s">
        <v>932</v>
      </c>
      <c r="P47">
        <v>3</v>
      </c>
      <c r="Q47">
        <v>56.25798511</v>
      </c>
      <c r="R47">
        <v>33.74201489</v>
      </c>
      <c r="S47">
        <v>88.218874589999999</v>
      </c>
      <c r="T47">
        <v>0.25</v>
      </c>
      <c r="U47">
        <v>2</v>
      </c>
      <c r="V47" t="s">
        <v>23</v>
      </c>
      <c r="W47" t="s">
        <v>24</v>
      </c>
      <c r="X47">
        <v>574416.50970000005</v>
      </c>
      <c r="Y47" t="s">
        <v>5</v>
      </c>
      <c r="Z47">
        <v>3</v>
      </c>
      <c r="AA47" s="2">
        <v>45856.87777777778</v>
      </c>
      <c r="AB47" s="3">
        <v>0.87832175925925926</v>
      </c>
      <c r="AC47" t="s">
        <v>590</v>
      </c>
      <c r="AD47" s="1">
        <v>45856</v>
      </c>
      <c r="AE47" s="2">
        <v>45856.87777777778</v>
      </c>
      <c r="AF47">
        <v>3.6095318794250399</v>
      </c>
      <c r="AG47">
        <v>257.26022338867102</v>
      </c>
      <c r="AH47">
        <v>42.969147801203697</v>
      </c>
      <c r="AI47">
        <v>0</v>
      </c>
      <c r="AJ47">
        <v>245.93489074707</v>
      </c>
      <c r="AK47">
        <v>36.868538607246499</v>
      </c>
      <c r="AL47">
        <v>42.969147801203697</v>
      </c>
      <c r="AM47">
        <v>4.6067866100335397</v>
      </c>
      <c r="AN47" s="6">
        <v>5851.3125510735199</v>
      </c>
      <c r="AO47">
        <v>4.2645718949395404</v>
      </c>
      <c r="AP47">
        <v>4.9605587954650998</v>
      </c>
      <c r="AQ47">
        <v>5416.6483421365701</v>
      </c>
      <c r="AR47">
        <v>6300.6564873278903</v>
      </c>
      <c r="AS47">
        <v>5416.6483421365701</v>
      </c>
      <c r="AT47">
        <v>6300.6564873278903</v>
      </c>
      <c r="AU47" s="6">
        <v>442.00407259565702</v>
      </c>
      <c r="AV47">
        <v>-43.195870528838803</v>
      </c>
    </row>
    <row r="48" spans="1:48" x14ac:dyDescent="0.25">
      <c r="A48" t="s">
        <v>538</v>
      </c>
      <c r="B48" t="s">
        <v>539</v>
      </c>
      <c r="C48">
        <v>1</v>
      </c>
      <c r="D48" t="s">
        <v>601</v>
      </c>
      <c r="E48" s="1">
        <v>45875</v>
      </c>
      <c r="F48">
        <v>8</v>
      </c>
      <c r="G48">
        <v>6</v>
      </c>
      <c r="H48">
        <v>2025</v>
      </c>
      <c r="I48">
        <v>218</v>
      </c>
      <c r="J48">
        <v>-71.983065999999994</v>
      </c>
      <c r="K48">
        <v>170.60781700000001</v>
      </c>
      <c r="L48">
        <v>7985</v>
      </c>
      <c r="M48">
        <v>1309.7605610000001</v>
      </c>
      <c r="N48" t="s">
        <v>932</v>
      </c>
      <c r="P48">
        <v>3</v>
      </c>
      <c r="Q48">
        <v>50.685590990000001</v>
      </c>
      <c r="R48">
        <v>39.314409009999999</v>
      </c>
      <c r="S48">
        <v>100.4748682</v>
      </c>
      <c r="T48">
        <v>0.25</v>
      </c>
      <c r="U48">
        <v>2</v>
      </c>
      <c r="V48" t="s">
        <v>3</v>
      </c>
      <c r="W48" t="s">
        <v>4</v>
      </c>
      <c r="X48">
        <v>606456.64280000003</v>
      </c>
      <c r="Y48" t="s">
        <v>5</v>
      </c>
      <c r="Z48">
        <v>3</v>
      </c>
      <c r="AA48" s="2">
        <v>45875.504166666666</v>
      </c>
      <c r="AB48" s="3">
        <v>0.5044791666666667</v>
      </c>
      <c r="AC48" t="s">
        <v>602</v>
      </c>
      <c r="AD48" s="1">
        <v>45875</v>
      </c>
      <c r="AE48" s="2">
        <v>45875.504166666666</v>
      </c>
      <c r="AF48">
        <v>3.4817016124725302</v>
      </c>
      <c r="AG48">
        <v>249.8989258</v>
      </c>
      <c r="AH48">
        <v>59.021807709642196</v>
      </c>
      <c r="AI48">
        <v>0</v>
      </c>
      <c r="AJ48">
        <v>241.82107543945301</v>
      </c>
      <c r="AK48">
        <v>47.195427418269396</v>
      </c>
      <c r="AL48">
        <v>59.021807709642196</v>
      </c>
      <c r="AM48">
        <v>5.5266957629587603</v>
      </c>
      <c r="AN48" s="6">
        <v>7238.6481429691803</v>
      </c>
      <c r="AO48">
        <v>4.9954675762324596</v>
      </c>
      <c r="AP48">
        <v>6.07064273267678</v>
      </c>
      <c r="AQ48">
        <v>6542.86641510354</v>
      </c>
      <c r="AR48">
        <v>7951.0884311813097</v>
      </c>
      <c r="AS48">
        <v>6542.86641510354</v>
      </c>
      <c r="AT48">
        <v>7951.0884311813097</v>
      </c>
      <c r="AU48" s="6">
        <v>704.11100803888405</v>
      </c>
      <c r="AV48">
        <v>-55.8062141202495</v>
      </c>
    </row>
    <row r="49" spans="1:48" x14ac:dyDescent="0.25">
      <c r="A49" t="s">
        <v>538</v>
      </c>
      <c r="B49" t="s">
        <v>539</v>
      </c>
      <c r="C49">
        <v>1</v>
      </c>
      <c r="D49" t="s">
        <v>611</v>
      </c>
      <c r="E49" s="1">
        <v>45889</v>
      </c>
      <c r="F49">
        <v>8</v>
      </c>
      <c r="G49">
        <v>20</v>
      </c>
      <c r="H49">
        <v>2025</v>
      </c>
      <c r="I49">
        <v>232</v>
      </c>
      <c r="J49">
        <v>-71.983065999999994</v>
      </c>
      <c r="K49">
        <v>170.60781700000001</v>
      </c>
      <c r="L49">
        <v>7985</v>
      </c>
      <c r="M49">
        <v>576.45900900000004</v>
      </c>
      <c r="N49" t="s">
        <v>939</v>
      </c>
      <c r="P49">
        <v>2</v>
      </c>
      <c r="Q49">
        <v>50.19641764</v>
      </c>
      <c r="R49">
        <v>39.80358236</v>
      </c>
      <c r="S49">
        <v>103.4118845</v>
      </c>
      <c r="T49">
        <v>0.25</v>
      </c>
      <c r="U49">
        <v>2</v>
      </c>
      <c r="V49" t="s">
        <v>23</v>
      </c>
      <c r="W49" t="s">
        <v>4</v>
      </c>
      <c r="X49">
        <v>604004.27300000004</v>
      </c>
      <c r="Y49" t="s">
        <v>5</v>
      </c>
      <c r="Z49">
        <v>2</v>
      </c>
      <c r="AA49" s="2">
        <v>45889.871527777781</v>
      </c>
      <c r="AB49" s="3">
        <v>0.87188657407407411</v>
      </c>
      <c r="AC49" t="s">
        <v>612</v>
      </c>
      <c r="AD49" s="1">
        <v>45889</v>
      </c>
      <c r="AE49" s="2">
        <v>45889.871527777781</v>
      </c>
      <c r="AF49">
        <v>0.59191721677780096</v>
      </c>
      <c r="AG49">
        <v>247.33612060546801</v>
      </c>
      <c r="AH49">
        <v>65.507374274936197</v>
      </c>
      <c r="AI49">
        <v>0</v>
      </c>
      <c r="AJ49">
        <v>240.25860595703099</v>
      </c>
      <c r="AK49">
        <v>51.122296327708703</v>
      </c>
      <c r="AL49">
        <v>65.507374274936197</v>
      </c>
      <c r="AM49">
        <v>5.1671282979931297</v>
      </c>
      <c r="AN49" s="6">
        <v>2978.6376580369702</v>
      </c>
      <c r="AO49">
        <v>4.6490245392126797</v>
      </c>
      <c r="AP49">
        <v>5.7027229841743603</v>
      </c>
      <c r="AQ49">
        <v>2679.9720786912198</v>
      </c>
      <c r="AR49">
        <v>3287.38604005867</v>
      </c>
      <c r="AS49">
        <v>2679.9720786912198</v>
      </c>
      <c r="AT49">
        <v>3287.38604005867</v>
      </c>
      <c r="AU49" s="6">
        <v>303.706980683724</v>
      </c>
      <c r="AV49">
        <v>-50.969437588534198</v>
      </c>
    </row>
    <row r="50" spans="1:48" x14ac:dyDescent="0.25">
      <c r="A50" t="s">
        <v>623</v>
      </c>
      <c r="B50" t="s">
        <v>624</v>
      </c>
      <c r="C50">
        <v>1</v>
      </c>
      <c r="D50" t="s">
        <v>625</v>
      </c>
      <c r="E50" s="1">
        <v>45771</v>
      </c>
      <c r="F50">
        <v>4</v>
      </c>
      <c r="G50">
        <v>24</v>
      </c>
      <c r="H50">
        <v>2025</v>
      </c>
      <c r="I50">
        <v>114</v>
      </c>
      <c r="J50">
        <v>-74.645037000000002</v>
      </c>
      <c r="K50">
        <v>165.38853700000001</v>
      </c>
      <c r="L50">
        <v>14040</v>
      </c>
      <c r="M50">
        <v>2008.24287</v>
      </c>
      <c r="N50" t="s">
        <v>919</v>
      </c>
      <c r="P50">
        <v>5</v>
      </c>
      <c r="Q50">
        <v>52.971516289999997</v>
      </c>
      <c r="R50">
        <v>37.028483710000003</v>
      </c>
      <c r="S50">
        <v>193.97774889999999</v>
      </c>
      <c r="T50">
        <v>0.25</v>
      </c>
      <c r="U50">
        <v>2</v>
      </c>
      <c r="V50" t="s">
        <v>3</v>
      </c>
      <c r="W50" t="s">
        <v>24</v>
      </c>
      <c r="X50">
        <v>602622.50760000001</v>
      </c>
      <c r="Y50" t="s">
        <v>114</v>
      </c>
      <c r="Z50">
        <v>5</v>
      </c>
      <c r="AA50" s="2">
        <v>45771.534722222219</v>
      </c>
      <c r="AB50" s="3">
        <v>0.53518518518518521</v>
      </c>
      <c r="AC50" t="s">
        <v>626</v>
      </c>
      <c r="AD50" s="1">
        <v>45771</v>
      </c>
      <c r="AE50" s="2">
        <v>45771.534722222219</v>
      </c>
      <c r="AF50">
        <v>1.0778998136520299</v>
      </c>
      <c r="AG50">
        <v>256.34973144531199</v>
      </c>
      <c r="AH50">
        <v>90.178893362430898</v>
      </c>
      <c r="AI50">
        <v>0</v>
      </c>
      <c r="AJ50">
        <v>253.24710083007801</v>
      </c>
      <c r="AK50">
        <v>76.701279339066502</v>
      </c>
      <c r="AL50">
        <v>90.178893362430898</v>
      </c>
      <c r="AM50">
        <v>5.2662521431978897</v>
      </c>
      <c r="AN50" s="6">
        <v>10575.9133181993</v>
      </c>
      <c r="AO50">
        <v>4.6961523628193804</v>
      </c>
      <c r="AP50">
        <v>5.8557357453384</v>
      </c>
      <c r="AQ50">
        <v>9431.01449906569</v>
      </c>
      <c r="AR50">
        <v>11759.7395591799</v>
      </c>
      <c r="AS50">
        <v>9431.01449906569</v>
      </c>
      <c r="AT50">
        <v>11759.7395591799</v>
      </c>
      <c r="AU50" s="6">
        <v>1164.36253005714</v>
      </c>
      <c r="AV50">
        <v>-52.312354153912203</v>
      </c>
    </row>
    <row r="51" spans="1:48" x14ac:dyDescent="0.25">
      <c r="A51" t="s">
        <v>623</v>
      </c>
      <c r="B51" t="s">
        <v>624</v>
      </c>
      <c r="C51">
        <v>1</v>
      </c>
      <c r="D51" t="s">
        <v>637</v>
      </c>
      <c r="E51" s="1">
        <v>45800</v>
      </c>
      <c r="F51">
        <v>5</v>
      </c>
      <c r="G51">
        <v>23</v>
      </c>
      <c r="H51">
        <v>2025</v>
      </c>
      <c r="I51">
        <v>143</v>
      </c>
      <c r="J51">
        <v>-74.645037000000002</v>
      </c>
      <c r="K51">
        <v>165.38853700000001</v>
      </c>
      <c r="L51">
        <v>14040</v>
      </c>
      <c r="M51">
        <v>3673.4911950000001</v>
      </c>
      <c r="N51" t="s">
        <v>919</v>
      </c>
      <c r="P51">
        <v>5</v>
      </c>
      <c r="Q51">
        <v>49.976241510000001</v>
      </c>
      <c r="R51">
        <v>40.023758489999999</v>
      </c>
      <c r="S51">
        <v>205.21515410000001</v>
      </c>
      <c r="T51">
        <v>0.25</v>
      </c>
      <c r="U51">
        <v>2</v>
      </c>
      <c r="V51" t="s">
        <v>3</v>
      </c>
      <c r="W51" t="s">
        <v>4</v>
      </c>
      <c r="X51">
        <v>632258.96939999994</v>
      </c>
      <c r="Y51" t="s">
        <v>114</v>
      </c>
      <c r="Z51">
        <v>5</v>
      </c>
      <c r="AA51" s="2">
        <v>45800.59652777778</v>
      </c>
      <c r="AB51" s="3">
        <v>0.59662037037037041</v>
      </c>
      <c r="AC51" t="s">
        <v>638</v>
      </c>
      <c r="AD51" s="1">
        <v>45800</v>
      </c>
      <c r="AE51" s="2">
        <v>45800.59652777778</v>
      </c>
      <c r="AF51">
        <v>5.6744532585143999</v>
      </c>
      <c r="AG51">
        <v>254.24150085449199</v>
      </c>
      <c r="AH51">
        <v>80.703314170585799</v>
      </c>
      <c r="AI51">
        <v>0</v>
      </c>
      <c r="AJ51">
        <v>249.72244262695301</v>
      </c>
      <c r="AK51">
        <v>67.266766117135404</v>
      </c>
      <c r="AL51">
        <v>80.703314170585799</v>
      </c>
      <c r="AM51">
        <v>6.3379143464024699</v>
      </c>
      <c r="AN51" s="6">
        <v>23282.272546173601</v>
      </c>
      <c r="AO51">
        <v>5.6660314946337103</v>
      </c>
      <c r="AP51">
        <v>7.0114929850136498</v>
      </c>
      <c r="AQ51">
        <v>20814.116806129601</v>
      </c>
      <c r="AR51">
        <v>25756.657744251901</v>
      </c>
      <c r="AS51">
        <v>20814.116806129601</v>
      </c>
      <c r="AT51">
        <v>25756.657744251901</v>
      </c>
      <c r="AU51" s="6">
        <v>2471.2704690611399</v>
      </c>
      <c r="AV51">
        <v>-66.487805920523599</v>
      </c>
    </row>
    <row r="52" spans="1:48" x14ac:dyDescent="0.25">
      <c r="A52" t="s">
        <v>623</v>
      </c>
      <c r="B52" t="s">
        <v>624</v>
      </c>
      <c r="C52">
        <v>1</v>
      </c>
      <c r="D52" t="s">
        <v>650</v>
      </c>
      <c r="E52" s="1">
        <v>45821</v>
      </c>
      <c r="F52">
        <v>6</v>
      </c>
      <c r="G52">
        <v>13</v>
      </c>
      <c r="H52">
        <v>2025</v>
      </c>
      <c r="I52">
        <v>164</v>
      </c>
      <c r="J52">
        <v>-74.645037000000002</v>
      </c>
      <c r="K52">
        <v>165.38853700000001</v>
      </c>
      <c r="L52">
        <v>14040</v>
      </c>
      <c r="M52">
        <v>4585.7735970000003</v>
      </c>
      <c r="N52" t="s">
        <v>919</v>
      </c>
      <c r="P52">
        <v>2</v>
      </c>
      <c r="Q52">
        <v>54.994337590000001</v>
      </c>
      <c r="R52">
        <v>35.005662409999999</v>
      </c>
      <c r="S52">
        <v>95.573945159999994</v>
      </c>
      <c r="T52">
        <v>0.25</v>
      </c>
      <c r="U52">
        <v>2</v>
      </c>
      <c r="V52" t="s">
        <v>23</v>
      </c>
      <c r="W52" t="s">
        <v>4</v>
      </c>
      <c r="X52">
        <v>589196.91319999995</v>
      </c>
      <c r="Y52" t="s">
        <v>114</v>
      </c>
      <c r="Z52">
        <v>2</v>
      </c>
      <c r="AA52" s="2">
        <v>45821.870138888888</v>
      </c>
      <c r="AB52" s="3">
        <v>0.87081018518518516</v>
      </c>
      <c r="AC52" t="s">
        <v>651</v>
      </c>
      <c r="AD52" s="1">
        <v>45821</v>
      </c>
      <c r="AE52" s="2">
        <v>45821.870138888888</v>
      </c>
      <c r="AF52">
        <v>7.6785259246826101</v>
      </c>
      <c r="AG52">
        <v>265.99639892578102</v>
      </c>
      <c r="AH52">
        <v>81.499143570000001</v>
      </c>
      <c r="AI52">
        <v>0</v>
      </c>
      <c r="AJ52">
        <v>262.515045166015</v>
      </c>
      <c r="AK52">
        <v>76.071608901811103</v>
      </c>
      <c r="AL52">
        <v>81.499143570000001</v>
      </c>
      <c r="AM52">
        <v>5.9752372189418903</v>
      </c>
      <c r="AN52" s="6">
        <v>27401.085074435399</v>
      </c>
      <c r="AO52">
        <v>5.38866128385673</v>
      </c>
      <c r="AP52">
        <v>6.5692958309998497</v>
      </c>
      <c r="AQ52">
        <v>24711.180638686299</v>
      </c>
      <c r="AR52">
        <v>30125.303372681199</v>
      </c>
      <c r="AS52">
        <v>24711.180638686299</v>
      </c>
      <c r="AT52">
        <v>30125.303372681199</v>
      </c>
      <c r="AU52" s="6">
        <v>2707.06136699748</v>
      </c>
      <c r="AV52">
        <v>-61.736882746730501</v>
      </c>
    </row>
    <row r="53" spans="1:48" x14ac:dyDescent="0.25">
      <c r="A53" t="s">
        <v>623</v>
      </c>
      <c r="B53" t="s">
        <v>624</v>
      </c>
      <c r="C53">
        <v>1</v>
      </c>
      <c r="D53" t="s">
        <v>662</v>
      </c>
      <c r="E53" s="1">
        <v>45838</v>
      </c>
      <c r="F53">
        <v>6</v>
      </c>
      <c r="G53">
        <v>30</v>
      </c>
      <c r="H53">
        <v>2025</v>
      </c>
      <c r="I53">
        <v>181</v>
      </c>
      <c r="J53">
        <v>-74.645037000000002</v>
      </c>
      <c r="K53">
        <v>165.38853700000001</v>
      </c>
      <c r="L53">
        <v>14040</v>
      </c>
      <c r="M53">
        <v>1878.2226410000001</v>
      </c>
      <c r="N53" t="s">
        <v>932</v>
      </c>
      <c r="P53">
        <v>5</v>
      </c>
      <c r="Q53">
        <v>48.870230429999999</v>
      </c>
      <c r="R53">
        <v>41.129769570000001</v>
      </c>
      <c r="S53">
        <v>127.71032580000001</v>
      </c>
      <c r="T53">
        <v>0.25</v>
      </c>
      <c r="U53">
        <v>2</v>
      </c>
      <c r="V53" t="s">
        <v>23</v>
      </c>
      <c r="W53" t="s">
        <v>4</v>
      </c>
      <c r="X53">
        <v>612307.09550000005</v>
      </c>
      <c r="Y53" t="s">
        <v>114</v>
      </c>
      <c r="Z53">
        <v>5</v>
      </c>
      <c r="AA53" s="2">
        <v>45838.808333333334</v>
      </c>
      <c r="AB53" s="3">
        <v>0.80891203703703707</v>
      </c>
      <c r="AC53" t="s">
        <v>663</v>
      </c>
      <c r="AD53" s="1">
        <v>45838</v>
      </c>
      <c r="AE53" s="2">
        <v>45838.808333333334</v>
      </c>
      <c r="AF53">
        <v>5.6323742866516104</v>
      </c>
      <c r="AG53">
        <v>248.03443908691401</v>
      </c>
      <c r="AH53">
        <v>71.705836856085995</v>
      </c>
      <c r="AI53">
        <v>0</v>
      </c>
      <c r="AJ53">
        <v>241.91130065917901</v>
      </c>
      <c r="AK53">
        <v>56.331081427425602</v>
      </c>
      <c r="AL53">
        <v>71.705836856085995</v>
      </c>
      <c r="AM53">
        <v>6.5584247055096299</v>
      </c>
      <c r="AN53" s="6">
        <v>12318.1817711819</v>
      </c>
      <c r="AO53">
        <v>5.8677180816086798</v>
      </c>
      <c r="AP53">
        <v>7.2458202572020003</v>
      </c>
      <c r="AQ53">
        <v>11020.8809518825</v>
      </c>
      <c r="AR53">
        <v>13609.263659693201</v>
      </c>
      <c r="AS53">
        <v>11020.8809518825</v>
      </c>
      <c r="AT53">
        <v>13609.263659693201</v>
      </c>
      <c r="AU53" s="6">
        <v>1294.1913539053601</v>
      </c>
      <c r="AV53">
        <v>-69.371300805572503</v>
      </c>
    </row>
    <row r="54" spans="1:48" x14ac:dyDescent="0.25">
      <c r="A54" t="s">
        <v>623</v>
      </c>
      <c r="B54" t="s">
        <v>624</v>
      </c>
      <c r="C54">
        <v>1</v>
      </c>
      <c r="D54" t="s">
        <v>674</v>
      </c>
      <c r="E54" s="1">
        <v>45856</v>
      </c>
      <c r="F54">
        <v>7</v>
      </c>
      <c r="G54">
        <v>18</v>
      </c>
      <c r="H54">
        <v>2025</v>
      </c>
      <c r="I54">
        <v>199</v>
      </c>
      <c r="J54">
        <v>-74.645037000000002</v>
      </c>
      <c r="K54">
        <v>165.38853700000001</v>
      </c>
      <c r="L54">
        <v>14040</v>
      </c>
      <c r="M54">
        <v>1934.234719</v>
      </c>
      <c r="N54" t="s">
        <v>932</v>
      </c>
      <c r="P54">
        <v>5</v>
      </c>
      <c r="Q54">
        <v>50.468902569999997</v>
      </c>
      <c r="R54">
        <v>39.531097430000003</v>
      </c>
      <c r="S54">
        <v>112.9660358</v>
      </c>
      <c r="T54">
        <v>0.25</v>
      </c>
      <c r="U54">
        <v>2</v>
      </c>
      <c r="V54" t="s">
        <v>23</v>
      </c>
      <c r="W54" t="s">
        <v>4</v>
      </c>
      <c r="X54">
        <v>730024.98389999999</v>
      </c>
      <c r="Y54" t="s">
        <v>114</v>
      </c>
      <c r="Z54">
        <v>5</v>
      </c>
      <c r="AA54" s="2">
        <v>45856.861805555556</v>
      </c>
      <c r="AB54" s="3">
        <v>0.86233796296296295</v>
      </c>
      <c r="AC54" t="s">
        <v>675</v>
      </c>
      <c r="AD54" s="1">
        <v>45856</v>
      </c>
      <c r="AE54" s="2">
        <v>45856.861805555556</v>
      </c>
      <c r="AF54">
        <v>8.82148838043212</v>
      </c>
      <c r="AG54">
        <v>256.69381713867102</v>
      </c>
      <c r="AH54">
        <v>74.789991991262994</v>
      </c>
      <c r="AI54">
        <v>0</v>
      </c>
      <c r="AJ54">
        <v>251.47590637207</v>
      </c>
      <c r="AK54">
        <v>63.823033232681603</v>
      </c>
      <c r="AL54">
        <v>74.789991991262994</v>
      </c>
      <c r="AM54">
        <v>6.7973175184587298</v>
      </c>
      <c r="AN54" s="6">
        <v>13147.607540269701</v>
      </c>
      <c r="AO54">
        <v>6.1116726051614396</v>
      </c>
      <c r="AP54">
        <v>7.4743071026425101</v>
      </c>
      <c r="AQ54">
        <v>11821.409344064399</v>
      </c>
      <c r="AR54">
        <v>14457.0642983994</v>
      </c>
      <c r="AS54">
        <v>11821.409344064399</v>
      </c>
      <c r="AT54">
        <v>14457.0642983994</v>
      </c>
      <c r="AU54" s="6">
        <v>1317.8274771675001</v>
      </c>
      <c r="AV54">
        <v>-72.500400183683098</v>
      </c>
    </row>
    <row r="55" spans="1:48" x14ac:dyDescent="0.25">
      <c r="A55" t="s">
        <v>623</v>
      </c>
      <c r="B55" t="s">
        <v>624</v>
      </c>
      <c r="C55">
        <v>1</v>
      </c>
      <c r="D55" t="s">
        <v>685</v>
      </c>
      <c r="E55" s="1">
        <v>45875</v>
      </c>
      <c r="F55">
        <v>8</v>
      </c>
      <c r="G55">
        <v>6</v>
      </c>
      <c r="H55">
        <v>2025</v>
      </c>
      <c r="I55">
        <v>218</v>
      </c>
      <c r="J55">
        <v>-74.645037000000002</v>
      </c>
      <c r="K55">
        <v>165.38853700000001</v>
      </c>
      <c r="L55">
        <v>14040</v>
      </c>
      <c r="M55">
        <v>1336.664896</v>
      </c>
      <c r="N55" t="s">
        <v>932</v>
      </c>
      <c r="P55">
        <v>5</v>
      </c>
      <c r="Q55">
        <v>51.81929805</v>
      </c>
      <c r="R55">
        <v>38.18070195</v>
      </c>
      <c r="S55">
        <v>105.77748200000001</v>
      </c>
      <c r="T55">
        <v>0.25</v>
      </c>
      <c r="U55">
        <v>2</v>
      </c>
      <c r="V55" t="s">
        <v>3</v>
      </c>
      <c r="W55" t="s">
        <v>4</v>
      </c>
      <c r="X55">
        <v>714870.6017</v>
      </c>
      <c r="Y55" t="s">
        <v>114</v>
      </c>
      <c r="Z55">
        <v>5</v>
      </c>
      <c r="AA55" s="2">
        <v>45875.538888888892</v>
      </c>
      <c r="AB55" s="3">
        <v>0.53893518518518524</v>
      </c>
      <c r="AC55" t="s">
        <v>686</v>
      </c>
      <c r="AD55" s="1">
        <v>45875</v>
      </c>
      <c r="AE55" s="2">
        <v>45875.538888888892</v>
      </c>
      <c r="AF55">
        <v>5.4257736206054599</v>
      </c>
      <c r="AG55">
        <v>251.09980773925699</v>
      </c>
      <c r="AH55">
        <v>78.777246510235898</v>
      </c>
      <c r="AI55">
        <v>0</v>
      </c>
      <c r="AJ55">
        <v>246.12207029999999</v>
      </c>
      <c r="AK55">
        <v>63.717526374535602</v>
      </c>
      <c r="AL55">
        <v>78.777246510235898</v>
      </c>
      <c r="AM55">
        <v>6.4622913244011801</v>
      </c>
      <c r="AN55" s="6">
        <v>8637.9179610524097</v>
      </c>
      <c r="AO55">
        <v>5.7708582968196902</v>
      </c>
      <c r="AP55">
        <v>7.1526273068148702</v>
      </c>
      <c r="AQ55">
        <v>7713.7037051492298</v>
      </c>
      <c r="AR55">
        <v>9560.6658351904607</v>
      </c>
      <c r="AS55">
        <v>7713.7037051492298</v>
      </c>
      <c r="AT55">
        <v>9560.6658351904607</v>
      </c>
      <c r="AU55" s="6">
        <v>923.48106502061705</v>
      </c>
      <c r="AV55">
        <v>-68.114072566260205</v>
      </c>
    </row>
    <row r="56" spans="1:48" x14ac:dyDescent="0.25">
      <c r="A56" t="s">
        <v>623</v>
      </c>
      <c r="B56" t="s">
        <v>624</v>
      </c>
      <c r="C56">
        <v>1</v>
      </c>
      <c r="D56" t="s">
        <v>696</v>
      </c>
      <c r="E56" s="1">
        <v>45889</v>
      </c>
      <c r="F56">
        <v>8</v>
      </c>
      <c r="G56">
        <v>20</v>
      </c>
      <c r="H56">
        <v>2025</v>
      </c>
      <c r="I56">
        <v>232</v>
      </c>
      <c r="J56">
        <v>-74.645037000000002</v>
      </c>
      <c r="K56">
        <v>165.38853700000001</v>
      </c>
      <c r="L56">
        <v>14040</v>
      </c>
      <c r="M56">
        <v>1368.5051100000001</v>
      </c>
      <c r="N56" t="s">
        <v>939</v>
      </c>
      <c r="P56">
        <v>5</v>
      </c>
      <c r="Q56">
        <v>57.430494609999997</v>
      </c>
      <c r="R56">
        <v>32.569505390000003</v>
      </c>
      <c r="S56">
        <v>132.63518239999999</v>
      </c>
      <c r="T56">
        <v>0.25</v>
      </c>
      <c r="U56">
        <v>2</v>
      </c>
      <c r="V56" t="s">
        <v>23</v>
      </c>
      <c r="W56" t="s">
        <v>4</v>
      </c>
      <c r="X56">
        <v>556684.67749999999</v>
      </c>
      <c r="Y56" t="s">
        <v>114</v>
      </c>
      <c r="Z56">
        <v>5</v>
      </c>
      <c r="AA56" s="2">
        <v>45889.87222222222</v>
      </c>
      <c r="AB56" s="3">
        <v>0.87270833333333331</v>
      </c>
      <c r="AC56" t="s">
        <v>697</v>
      </c>
      <c r="AD56" s="1">
        <v>45889</v>
      </c>
      <c r="AE56" s="2">
        <v>45889.87222222222</v>
      </c>
      <c r="AF56">
        <v>3.8019611835479701</v>
      </c>
      <c r="AG56">
        <v>247.30096435546801</v>
      </c>
      <c r="AH56">
        <v>97.739388613007307</v>
      </c>
      <c r="AI56">
        <v>0</v>
      </c>
      <c r="AJ56">
        <v>244.38360595703099</v>
      </c>
      <c r="AK56">
        <v>76.250947743886798</v>
      </c>
      <c r="AL56">
        <v>97.739388613007307</v>
      </c>
      <c r="AM56">
        <v>6.8485443750739101</v>
      </c>
      <c r="AN56" s="6">
        <v>9372.2679733504101</v>
      </c>
      <c r="AO56">
        <v>6.0424052667657202</v>
      </c>
      <c r="AP56">
        <v>7.6411588055901802</v>
      </c>
      <c r="AQ56">
        <v>8269.0624842598008</v>
      </c>
      <c r="AR56">
        <v>10456.964871771601</v>
      </c>
      <c r="AS56">
        <v>8269.0624842598008</v>
      </c>
      <c r="AT56">
        <v>10456.964871771601</v>
      </c>
      <c r="AU56" s="6">
        <v>1093.95119375593</v>
      </c>
      <c r="AV56">
        <v>-73.172905251969695</v>
      </c>
    </row>
    <row r="57" spans="1:48" x14ac:dyDescent="0.25">
      <c r="E57" s="1"/>
      <c r="AA57" s="2"/>
      <c r="AB57" s="3"/>
      <c r="AD57" s="1"/>
      <c r="AE57" s="2"/>
    </row>
    <row r="58" spans="1:48" x14ac:dyDescent="0.25">
      <c r="E58" s="1"/>
      <c r="AA58" s="2"/>
      <c r="AB58" s="3"/>
      <c r="AD58" s="1"/>
      <c r="AE58" s="2"/>
    </row>
    <row r="59" spans="1:48" x14ac:dyDescent="0.25">
      <c r="E59" s="1"/>
      <c r="AA59" s="2"/>
      <c r="AB59" s="3"/>
      <c r="AD59" s="1"/>
      <c r="AE59" s="2"/>
    </row>
    <row r="60" spans="1:48" x14ac:dyDescent="0.25">
      <c r="E60" s="1"/>
      <c r="AA60" s="2"/>
      <c r="AB60" s="3"/>
      <c r="AD60" s="1"/>
      <c r="AE60" s="2"/>
    </row>
    <row r="61" spans="1:48" x14ac:dyDescent="0.25">
      <c r="E61" s="1"/>
      <c r="AA61" s="2"/>
      <c r="AB61" s="3"/>
      <c r="AD61" s="1"/>
      <c r="AE61" s="2"/>
    </row>
    <row r="62" spans="1:48" x14ac:dyDescent="0.25">
      <c r="E62" s="1"/>
      <c r="AA62" s="2"/>
      <c r="AB62" s="3"/>
      <c r="AD62" s="1"/>
      <c r="AE62" s="2"/>
    </row>
    <row r="63" spans="1:48" x14ac:dyDescent="0.25">
      <c r="E63" s="1"/>
      <c r="AA63" s="2"/>
      <c r="AB63" s="3"/>
      <c r="AD63" s="1"/>
      <c r="AE63" s="2"/>
    </row>
    <row r="64" spans="1:48" x14ac:dyDescent="0.25">
      <c r="E64" s="1"/>
      <c r="AA64" s="2"/>
      <c r="AB64" s="3"/>
      <c r="AD64" s="1"/>
      <c r="AE64" s="2"/>
    </row>
    <row r="65" spans="5:31" x14ac:dyDescent="0.25">
      <c r="E65" s="1"/>
      <c r="AA65" s="2"/>
      <c r="AB65" s="3"/>
      <c r="AD65" s="1"/>
      <c r="AE65" s="2"/>
    </row>
    <row r="66" spans="5:31" x14ac:dyDescent="0.25">
      <c r="E66" s="1"/>
      <c r="AA66" s="2"/>
      <c r="AB66" s="3"/>
      <c r="AD66" s="1"/>
      <c r="AE66" s="2"/>
    </row>
    <row r="67" spans="5:31" x14ac:dyDescent="0.25">
      <c r="E67" s="1"/>
      <c r="AA67" s="2"/>
      <c r="AB67" s="3"/>
      <c r="AD67" s="1"/>
      <c r="AE67" s="2"/>
    </row>
    <row r="68" spans="5:31" x14ac:dyDescent="0.25">
      <c r="E68" s="1"/>
      <c r="AA68" s="2"/>
      <c r="AB68" s="3"/>
      <c r="AD68" s="1"/>
      <c r="AE68" s="2"/>
    </row>
    <row r="69" spans="5:31" x14ac:dyDescent="0.25">
      <c r="E69" s="1"/>
      <c r="AA69" s="2"/>
      <c r="AB69" s="3"/>
      <c r="AD69" s="1"/>
      <c r="AE69" s="2"/>
    </row>
    <row r="70" spans="5:31" x14ac:dyDescent="0.25">
      <c r="E70" s="1"/>
      <c r="AA70" s="2"/>
      <c r="AB70" s="3"/>
      <c r="AD70" s="1"/>
      <c r="AE70" s="2"/>
    </row>
    <row r="71" spans="5:31" x14ac:dyDescent="0.25">
      <c r="E71" s="1"/>
      <c r="AA71" s="2"/>
      <c r="AB71" s="3"/>
      <c r="AD71" s="1"/>
      <c r="AE71" s="2"/>
    </row>
    <row r="72" spans="5:31" x14ac:dyDescent="0.25">
      <c r="E72" s="1"/>
      <c r="AA72" s="2"/>
      <c r="AB72" s="3"/>
      <c r="AD72" s="1"/>
      <c r="AE72" s="2"/>
    </row>
    <row r="73" spans="5:31" x14ac:dyDescent="0.25">
      <c r="E73" s="1"/>
      <c r="AA73" s="2"/>
      <c r="AB73" s="3"/>
      <c r="AD73" s="1"/>
      <c r="AE73" s="2"/>
    </row>
    <row r="74" spans="5:31" x14ac:dyDescent="0.25">
      <c r="E74" s="1"/>
      <c r="AA74" s="2"/>
      <c r="AB74" s="3"/>
      <c r="AD74" s="1"/>
      <c r="AE74" s="2"/>
    </row>
    <row r="75" spans="5:31" x14ac:dyDescent="0.25">
      <c r="E75" s="1"/>
      <c r="AA75" s="2"/>
      <c r="AB75" s="3"/>
      <c r="AD75" s="1"/>
      <c r="AE75" s="2"/>
    </row>
    <row r="76" spans="5:31" x14ac:dyDescent="0.25">
      <c r="E76" s="1"/>
      <c r="AA76" s="2"/>
      <c r="AB76" s="3"/>
      <c r="AD76" s="1"/>
      <c r="AE76" s="2"/>
    </row>
    <row r="77" spans="5:31" x14ac:dyDescent="0.25">
      <c r="E77" s="1"/>
      <c r="AA77" s="2"/>
      <c r="AB77" s="3"/>
      <c r="AD77" s="1"/>
      <c r="AE77" s="2"/>
    </row>
    <row r="78" spans="5:31" x14ac:dyDescent="0.25">
      <c r="E78" s="1"/>
      <c r="AA78" s="2"/>
      <c r="AB78" s="3"/>
      <c r="AD78" s="1"/>
      <c r="AE78" s="2"/>
    </row>
    <row r="79" spans="5:31" x14ac:dyDescent="0.25">
      <c r="E79" s="1"/>
      <c r="AA79" s="2"/>
      <c r="AB79" s="3"/>
      <c r="AD79" s="1"/>
      <c r="AE79" s="2"/>
    </row>
    <row r="80" spans="5:31" x14ac:dyDescent="0.25">
      <c r="E80" s="1"/>
      <c r="AA80" s="2"/>
      <c r="AB80" s="3"/>
      <c r="AD80" s="1"/>
      <c r="AE80" s="2"/>
    </row>
    <row r="81" spans="5:31" x14ac:dyDescent="0.25">
      <c r="E81" s="1"/>
      <c r="AA81" s="2"/>
      <c r="AB81" s="3"/>
      <c r="AD81" s="1"/>
      <c r="AE81" s="2"/>
    </row>
    <row r="82" spans="5:31" x14ac:dyDescent="0.25">
      <c r="E82" s="1"/>
      <c r="AA82" s="2"/>
      <c r="AB82" s="3"/>
      <c r="AD82" s="1"/>
      <c r="AE82" s="2"/>
    </row>
    <row r="83" spans="5:31" x14ac:dyDescent="0.25">
      <c r="E83" s="1"/>
      <c r="AA83" s="2"/>
      <c r="AB83" s="3"/>
      <c r="AD83" s="1"/>
      <c r="AE83" s="2"/>
    </row>
    <row r="84" spans="5:31" x14ac:dyDescent="0.25">
      <c r="E84" s="1"/>
      <c r="AA84" s="2"/>
      <c r="AB84" s="3"/>
      <c r="AD84" s="1"/>
      <c r="AE84" s="2"/>
    </row>
    <row r="85" spans="5:31" x14ac:dyDescent="0.25">
      <c r="E85" s="1"/>
      <c r="AA85" s="2"/>
      <c r="AB85" s="3"/>
      <c r="AD85" s="1"/>
      <c r="AE85" s="2"/>
    </row>
    <row r="86" spans="5:31" x14ac:dyDescent="0.25">
      <c r="E86" s="1"/>
      <c r="AA86" s="2"/>
      <c r="AB86" s="3"/>
      <c r="AD86" s="1"/>
      <c r="AE86" s="2"/>
    </row>
    <row r="87" spans="5:31" x14ac:dyDescent="0.25">
      <c r="E87" s="1"/>
      <c r="AA87" s="2"/>
      <c r="AB87" s="3"/>
      <c r="AD87" s="1"/>
      <c r="AE87" s="2"/>
    </row>
    <row r="88" spans="5:31" x14ac:dyDescent="0.25">
      <c r="E88" s="1"/>
      <c r="AA88" s="2"/>
      <c r="AB88" s="3"/>
      <c r="AD88" s="1"/>
      <c r="AE88" s="2"/>
    </row>
    <row r="89" spans="5:31" x14ac:dyDescent="0.25">
      <c r="E89" s="1"/>
      <c r="AA89" s="2"/>
      <c r="AB89" s="3"/>
      <c r="AD89" s="1"/>
      <c r="AE89" s="2"/>
    </row>
    <row r="90" spans="5:31" x14ac:dyDescent="0.25">
      <c r="E90" s="1"/>
      <c r="AA90" s="2"/>
      <c r="AB90" s="3"/>
      <c r="AD90" s="1"/>
      <c r="AE90" s="2"/>
    </row>
    <row r="91" spans="5:31" x14ac:dyDescent="0.25">
      <c r="E91" s="1"/>
      <c r="AA91" s="2"/>
      <c r="AB91" s="3"/>
      <c r="AD91" s="1"/>
      <c r="AE91" s="2"/>
    </row>
    <row r="92" spans="5:31" x14ac:dyDescent="0.25">
      <c r="E92" s="1"/>
      <c r="AA92" s="2"/>
      <c r="AB92" s="3"/>
      <c r="AD92" s="1"/>
      <c r="AE92" s="2"/>
    </row>
    <row r="93" spans="5:31" x14ac:dyDescent="0.25">
      <c r="E93" s="1"/>
      <c r="AA93" s="2"/>
      <c r="AB93" s="3"/>
      <c r="AD93" s="1"/>
      <c r="AE93" s="2"/>
    </row>
    <row r="94" spans="5:31" x14ac:dyDescent="0.25">
      <c r="E94" s="1"/>
      <c r="AA94" s="2"/>
      <c r="AB94" s="3"/>
      <c r="AD94" s="1"/>
      <c r="AE94" s="2"/>
    </row>
    <row r="95" spans="5:31" x14ac:dyDescent="0.25">
      <c r="E95" s="1"/>
      <c r="AA95" s="2"/>
      <c r="AB95" s="3"/>
      <c r="AD95" s="1"/>
      <c r="AE95" s="2"/>
    </row>
    <row r="96" spans="5:31" x14ac:dyDescent="0.25">
      <c r="E96" s="1"/>
      <c r="AA96" s="2"/>
      <c r="AB96" s="3"/>
      <c r="AD96" s="1"/>
      <c r="AE96" s="2"/>
    </row>
    <row r="97" spans="5:31" x14ac:dyDescent="0.25">
      <c r="E97" s="1"/>
      <c r="AA97" s="2"/>
      <c r="AB97" s="3"/>
      <c r="AD97" s="1"/>
      <c r="AE97" s="2"/>
    </row>
    <row r="98" spans="5:31" x14ac:dyDescent="0.25">
      <c r="E98" s="1"/>
      <c r="AA98" s="2"/>
      <c r="AB98" s="3"/>
      <c r="AD98" s="1"/>
      <c r="AE98" s="2"/>
    </row>
    <row r="99" spans="5:31" x14ac:dyDescent="0.25">
      <c r="E99" s="1"/>
      <c r="AA99" s="2"/>
      <c r="AB99" s="3"/>
      <c r="AD99" s="1"/>
      <c r="AE99" s="2"/>
    </row>
    <row r="100" spans="5:31" x14ac:dyDescent="0.25">
      <c r="E100" s="1"/>
      <c r="AA100" s="2"/>
      <c r="AB100" s="3"/>
      <c r="AD100" s="1"/>
      <c r="AE100" s="2"/>
    </row>
    <row r="101" spans="5:31" x14ac:dyDescent="0.25">
      <c r="E101" s="1"/>
      <c r="AA101" s="2"/>
      <c r="AB101" s="3"/>
      <c r="AD101" s="1"/>
      <c r="AE101" s="2"/>
    </row>
    <row r="102" spans="5:31" x14ac:dyDescent="0.25">
      <c r="E102" s="1"/>
      <c r="AA102" s="2"/>
      <c r="AB102" s="3"/>
      <c r="AD102" s="1"/>
      <c r="AE102" s="2"/>
    </row>
    <row r="103" spans="5:31" x14ac:dyDescent="0.25">
      <c r="E103" s="1"/>
      <c r="AA103" s="2"/>
      <c r="AB103" s="3"/>
      <c r="AD103" s="1"/>
      <c r="AE103" s="2"/>
    </row>
    <row r="104" spans="5:31" x14ac:dyDescent="0.25">
      <c r="E104" s="1"/>
      <c r="AA104" s="2"/>
      <c r="AB104" s="3"/>
      <c r="AD104" s="1"/>
      <c r="AE104" s="2"/>
    </row>
    <row r="105" spans="5:31" x14ac:dyDescent="0.25">
      <c r="E105" s="1"/>
      <c r="AA105" s="2"/>
      <c r="AB105" s="3"/>
      <c r="AD105" s="1"/>
      <c r="AE105" s="2"/>
    </row>
    <row r="106" spans="5:31" x14ac:dyDescent="0.25">
      <c r="E106" s="1"/>
      <c r="AA106" s="2"/>
      <c r="AB106" s="3"/>
      <c r="AD106" s="1"/>
      <c r="AE106" s="2"/>
    </row>
    <row r="107" spans="5:31" x14ac:dyDescent="0.25">
      <c r="E107" s="1"/>
      <c r="AA107" s="2"/>
      <c r="AB107" s="3"/>
      <c r="AD107" s="1"/>
      <c r="AE107" s="2"/>
    </row>
    <row r="108" spans="5:31" x14ac:dyDescent="0.25">
      <c r="E108" s="1"/>
      <c r="AA108" s="2"/>
      <c r="AB108" s="3"/>
      <c r="AD108" s="1"/>
      <c r="AE108" s="2"/>
    </row>
    <row r="109" spans="5:31" x14ac:dyDescent="0.25">
      <c r="E109" s="1"/>
      <c r="AA109" s="2"/>
      <c r="AB109" s="3"/>
      <c r="AD109" s="1"/>
      <c r="AE109" s="2"/>
    </row>
    <row r="110" spans="5:31" x14ac:dyDescent="0.25">
      <c r="E110" s="1"/>
      <c r="AA110" s="2"/>
      <c r="AB110" s="3"/>
      <c r="AD110" s="1"/>
      <c r="AE110" s="2"/>
    </row>
    <row r="111" spans="5:31" x14ac:dyDescent="0.25">
      <c r="E111" s="1"/>
      <c r="AA111" s="2"/>
      <c r="AB111" s="3"/>
      <c r="AD111" s="1"/>
      <c r="AE111" s="2"/>
    </row>
    <row r="112" spans="5:31" x14ac:dyDescent="0.25">
      <c r="E112" s="1"/>
      <c r="AA112" s="2"/>
      <c r="AB112" s="3"/>
      <c r="AD112" s="1"/>
      <c r="AE112" s="2"/>
    </row>
    <row r="113" spans="5:31" x14ac:dyDescent="0.25">
      <c r="E113" s="1"/>
      <c r="AA113" s="2"/>
      <c r="AB113" s="3"/>
      <c r="AD113" s="1"/>
      <c r="AE113" s="2"/>
    </row>
    <row r="114" spans="5:31" x14ac:dyDescent="0.25">
      <c r="E114" s="1"/>
      <c r="AA114" s="2"/>
      <c r="AB114" s="3"/>
      <c r="AD114" s="1"/>
      <c r="AE114" s="2"/>
    </row>
    <row r="115" spans="5:31" x14ac:dyDescent="0.25">
      <c r="E115" s="1"/>
      <c r="AA115" s="2"/>
      <c r="AB115" s="3"/>
      <c r="AD115" s="1"/>
      <c r="AE115" s="2"/>
    </row>
    <row r="116" spans="5:31" x14ac:dyDescent="0.25">
      <c r="E116" s="1"/>
      <c r="AA116" s="2"/>
      <c r="AB116" s="3"/>
      <c r="AD116" s="1"/>
      <c r="AE116" s="2"/>
    </row>
    <row r="117" spans="5:31" x14ac:dyDescent="0.25">
      <c r="E117" s="1"/>
      <c r="AA117" s="2"/>
      <c r="AB117" s="3"/>
      <c r="AD117" s="1"/>
      <c r="AE117" s="2"/>
    </row>
    <row r="118" spans="5:31" x14ac:dyDescent="0.25">
      <c r="E118" s="1"/>
      <c r="AA118" s="2"/>
      <c r="AB118" s="3"/>
      <c r="AD118" s="1"/>
      <c r="AE118" s="2"/>
    </row>
    <row r="119" spans="5:31" x14ac:dyDescent="0.25">
      <c r="E119" s="1"/>
      <c r="AA119" s="2"/>
      <c r="AB119" s="3"/>
      <c r="AD119" s="1"/>
      <c r="AE119" s="2"/>
    </row>
    <row r="120" spans="5:31" x14ac:dyDescent="0.25">
      <c r="E120" s="1"/>
      <c r="AA120" s="2"/>
      <c r="AB120" s="3"/>
      <c r="AD120" s="1"/>
      <c r="AE120" s="2"/>
    </row>
    <row r="121" spans="5:31" x14ac:dyDescent="0.25">
      <c r="E121" s="1"/>
      <c r="AA121" s="2"/>
      <c r="AB121" s="3"/>
      <c r="AD121" s="1"/>
      <c r="AE121" s="2"/>
    </row>
    <row r="122" spans="5:31" x14ac:dyDescent="0.25">
      <c r="E122" s="1"/>
      <c r="AA122" s="2"/>
      <c r="AB122" s="3"/>
      <c r="AD122" s="1"/>
      <c r="AE122" s="2"/>
    </row>
    <row r="123" spans="5:31" x14ac:dyDescent="0.25">
      <c r="E123" s="1"/>
      <c r="AA123" s="2"/>
      <c r="AB123" s="3"/>
      <c r="AD123" s="1"/>
      <c r="AE123" s="2"/>
    </row>
    <row r="124" spans="5:31" x14ac:dyDescent="0.25">
      <c r="E124" s="1"/>
      <c r="AA124" s="2"/>
      <c r="AB124" s="3"/>
      <c r="AD124" s="1"/>
      <c r="AE124" s="2"/>
    </row>
    <row r="125" spans="5:31" x14ac:dyDescent="0.25">
      <c r="E125" s="1"/>
      <c r="AA125" s="2"/>
      <c r="AB125" s="3"/>
      <c r="AD125" s="1"/>
      <c r="AE125" s="2"/>
    </row>
    <row r="126" spans="5:31" x14ac:dyDescent="0.25">
      <c r="E126" s="1"/>
      <c r="AA126" s="2"/>
      <c r="AB126" s="3"/>
      <c r="AD126" s="1"/>
      <c r="AE126" s="2"/>
    </row>
    <row r="127" spans="5:31" x14ac:dyDescent="0.25">
      <c r="E127" s="1"/>
      <c r="AA127" s="2"/>
      <c r="AB127" s="3"/>
      <c r="AD127" s="1"/>
      <c r="AE127" s="2"/>
    </row>
    <row r="128" spans="5:31" x14ac:dyDescent="0.25">
      <c r="E128" s="1"/>
      <c r="AA128" s="2"/>
      <c r="AB128" s="3"/>
      <c r="AD128" s="1"/>
      <c r="AE128" s="2"/>
    </row>
    <row r="129" spans="5:31" x14ac:dyDescent="0.25">
      <c r="E129" s="1"/>
      <c r="AA129" s="2"/>
      <c r="AB129" s="3"/>
      <c r="AD129" s="1"/>
      <c r="AE129" s="2"/>
    </row>
    <row r="130" spans="5:31" x14ac:dyDescent="0.25">
      <c r="E130" s="1"/>
      <c r="AA130" s="2"/>
      <c r="AB130" s="3"/>
      <c r="AD130" s="1"/>
      <c r="AE130" s="2"/>
    </row>
    <row r="131" spans="5:31" x14ac:dyDescent="0.25">
      <c r="E131" s="1"/>
      <c r="AA131" s="2"/>
      <c r="AB131" s="3"/>
      <c r="AD131" s="1"/>
      <c r="AE131" s="2"/>
    </row>
    <row r="132" spans="5:31" x14ac:dyDescent="0.25">
      <c r="E132" s="1"/>
      <c r="AA132" s="2"/>
      <c r="AB132" s="3"/>
      <c r="AD132" s="1"/>
      <c r="AE132" s="2"/>
    </row>
    <row r="133" spans="5:31" x14ac:dyDescent="0.25">
      <c r="E133" s="1"/>
      <c r="AA133" s="2"/>
      <c r="AB133" s="3"/>
      <c r="AD133" s="1"/>
      <c r="AE133" s="2"/>
    </row>
    <row r="134" spans="5:31" x14ac:dyDescent="0.25">
      <c r="E134" s="1"/>
      <c r="AA134" s="2"/>
      <c r="AB134" s="3"/>
      <c r="AD134" s="1"/>
      <c r="AE134" s="2"/>
    </row>
    <row r="135" spans="5:31" x14ac:dyDescent="0.25">
      <c r="E135" s="1"/>
      <c r="AA135" s="2"/>
      <c r="AB135" s="3"/>
      <c r="AD135" s="1"/>
      <c r="AE135" s="2"/>
    </row>
    <row r="136" spans="5:31" x14ac:dyDescent="0.25">
      <c r="E136" s="1"/>
      <c r="AA136" s="2"/>
      <c r="AB136" s="3"/>
      <c r="AD136" s="1"/>
      <c r="AE136" s="2"/>
    </row>
    <row r="137" spans="5:31" x14ac:dyDescent="0.25">
      <c r="E137" s="1"/>
      <c r="AA137" s="2"/>
      <c r="AB137" s="3"/>
      <c r="AD137" s="1"/>
      <c r="AE137" s="2"/>
    </row>
    <row r="138" spans="5:31" x14ac:dyDescent="0.25">
      <c r="E138" s="1"/>
      <c r="AA138" s="2"/>
      <c r="AB138" s="3"/>
      <c r="AD138" s="1"/>
      <c r="AE138" s="2"/>
    </row>
    <row r="139" spans="5:31" x14ac:dyDescent="0.25">
      <c r="E139" s="1"/>
      <c r="AA139" s="2"/>
      <c r="AB139" s="3"/>
      <c r="AD139" s="1"/>
      <c r="AE139" s="2"/>
    </row>
    <row r="140" spans="5:31" x14ac:dyDescent="0.25">
      <c r="E140" s="1"/>
      <c r="AA140" s="2"/>
      <c r="AB140" s="3"/>
      <c r="AD140" s="1"/>
      <c r="AE140" s="2"/>
    </row>
    <row r="141" spans="5:31" x14ac:dyDescent="0.25">
      <c r="E141" s="1"/>
      <c r="AA141" s="2"/>
      <c r="AB141" s="3"/>
      <c r="AD141" s="1"/>
      <c r="AE141" s="2"/>
    </row>
    <row r="142" spans="5:31" x14ac:dyDescent="0.25">
      <c r="E142" s="1"/>
      <c r="AA142" s="2"/>
      <c r="AB142" s="3"/>
      <c r="AD142" s="1"/>
      <c r="AE142" s="2"/>
    </row>
    <row r="143" spans="5:31" x14ac:dyDescent="0.25">
      <c r="E143" s="1"/>
      <c r="AA143" s="2"/>
      <c r="AB143" s="3"/>
      <c r="AD143" s="1"/>
      <c r="AE143" s="2"/>
    </row>
    <row r="144" spans="5:31" x14ac:dyDescent="0.25">
      <c r="E144" s="1"/>
      <c r="AA144" s="2"/>
      <c r="AB144" s="3"/>
      <c r="AD144" s="1"/>
      <c r="AE144" s="2"/>
    </row>
    <row r="145" spans="5:31" x14ac:dyDescent="0.25">
      <c r="E145" s="1"/>
      <c r="AA145" s="2"/>
      <c r="AB145" s="3"/>
      <c r="AD145" s="1"/>
      <c r="AE145" s="2"/>
    </row>
    <row r="146" spans="5:31" x14ac:dyDescent="0.25">
      <c r="E146" s="1"/>
      <c r="AA146" s="2"/>
      <c r="AB146" s="3"/>
      <c r="AD146" s="1"/>
      <c r="AE146" s="2"/>
    </row>
    <row r="147" spans="5:31" x14ac:dyDescent="0.25">
      <c r="E147" s="1"/>
      <c r="AA147" s="2"/>
      <c r="AB147" s="3"/>
      <c r="AD147" s="1"/>
      <c r="AE147" s="2"/>
    </row>
    <row r="148" spans="5:31" x14ac:dyDescent="0.25">
      <c r="E148" s="1"/>
      <c r="AA148" s="2"/>
      <c r="AB148" s="3"/>
      <c r="AD148" s="1"/>
      <c r="AE148" s="2"/>
    </row>
    <row r="149" spans="5:31" x14ac:dyDescent="0.25">
      <c r="E149" s="1"/>
      <c r="AA149" s="2"/>
      <c r="AB149" s="3"/>
      <c r="AD149" s="1"/>
      <c r="AE149" s="2"/>
    </row>
    <row r="150" spans="5:31" x14ac:dyDescent="0.25">
      <c r="E150" s="1"/>
      <c r="AA150" s="2"/>
      <c r="AB150" s="3"/>
      <c r="AD150" s="1"/>
      <c r="AE150" s="2"/>
    </row>
    <row r="151" spans="5:31" x14ac:dyDescent="0.25">
      <c r="E151" s="1"/>
      <c r="AA151" s="2"/>
      <c r="AB151" s="3"/>
      <c r="AD151" s="1"/>
      <c r="AE151" s="2"/>
    </row>
    <row r="152" spans="5:31" x14ac:dyDescent="0.25">
      <c r="E152" s="1"/>
      <c r="AA152" s="2"/>
      <c r="AB152" s="3"/>
      <c r="AD152" s="1"/>
      <c r="AE152" s="2"/>
    </row>
    <row r="153" spans="5:31" x14ac:dyDescent="0.25">
      <c r="E153" s="1"/>
      <c r="AA153" s="2"/>
      <c r="AB153" s="3"/>
      <c r="AD153" s="1"/>
      <c r="AE153" s="2"/>
    </row>
    <row r="154" spans="5:31" x14ac:dyDescent="0.25">
      <c r="E154" s="1"/>
      <c r="AA154" s="2"/>
      <c r="AB154" s="3"/>
      <c r="AD154" s="1"/>
      <c r="AE154" s="2"/>
    </row>
    <row r="155" spans="5:31" x14ac:dyDescent="0.25">
      <c r="E155" s="1"/>
      <c r="AA155" s="2"/>
      <c r="AB155" s="3"/>
      <c r="AD155" s="1"/>
      <c r="AE155" s="2"/>
    </row>
    <row r="156" spans="5:31" x14ac:dyDescent="0.25">
      <c r="E156" s="1"/>
      <c r="AA156" s="2"/>
      <c r="AB156" s="3"/>
      <c r="AD156" s="1"/>
      <c r="AE156" s="2"/>
    </row>
    <row r="157" spans="5:31" x14ac:dyDescent="0.25">
      <c r="E157" s="1"/>
      <c r="AA157" s="2"/>
      <c r="AB157" s="3"/>
      <c r="AD157" s="1"/>
      <c r="AE157" s="2"/>
    </row>
    <row r="158" spans="5:31" x14ac:dyDescent="0.25">
      <c r="E158" s="1"/>
      <c r="AA158" s="2"/>
      <c r="AB158" s="3"/>
      <c r="AD158" s="1"/>
      <c r="AE158" s="2"/>
    </row>
    <row r="159" spans="5:31" x14ac:dyDescent="0.25">
      <c r="E159" s="1"/>
      <c r="AA159" s="2"/>
      <c r="AB159" s="3"/>
      <c r="AD159" s="1"/>
      <c r="AE159" s="2"/>
    </row>
    <row r="160" spans="5:31" x14ac:dyDescent="0.25">
      <c r="E160" s="1"/>
      <c r="AA160" s="2"/>
      <c r="AB160" s="3"/>
      <c r="AD160" s="1"/>
      <c r="AE160" s="2"/>
    </row>
    <row r="161" spans="5:31" x14ac:dyDescent="0.25">
      <c r="E161" s="1"/>
      <c r="AA161" s="2"/>
      <c r="AB161" s="3"/>
      <c r="AD161" s="1"/>
      <c r="AE161" s="2"/>
    </row>
    <row r="162" spans="5:31" x14ac:dyDescent="0.25">
      <c r="E162" s="1"/>
      <c r="AA162" s="2"/>
      <c r="AB162" s="3"/>
      <c r="AD162" s="1"/>
      <c r="AE162" s="2"/>
    </row>
    <row r="163" spans="5:31" x14ac:dyDescent="0.25">
      <c r="E163" s="1"/>
      <c r="AA163" s="2"/>
      <c r="AB163" s="3"/>
      <c r="AD163" s="1"/>
      <c r="AE163" s="2"/>
    </row>
    <row r="164" spans="5:31" x14ac:dyDescent="0.25">
      <c r="E164" s="1"/>
      <c r="AA164" s="2"/>
      <c r="AB164" s="3"/>
      <c r="AD164" s="1"/>
      <c r="AE164" s="2"/>
    </row>
    <row r="165" spans="5:31" x14ac:dyDescent="0.25">
      <c r="E165" s="1"/>
      <c r="AA165" s="2"/>
      <c r="AB165" s="3"/>
      <c r="AD165" s="1"/>
      <c r="AE165" s="2"/>
    </row>
    <row r="166" spans="5:31" x14ac:dyDescent="0.25">
      <c r="E166" s="1"/>
      <c r="AA166" s="2"/>
      <c r="AB166" s="3"/>
      <c r="AD166" s="1"/>
      <c r="AE166" s="2"/>
    </row>
    <row r="167" spans="5:31" x14ac:dyDescent="0.25">
      <c r="E167" s="1"/>
      <c r="AA167" s="2"/>
      <c r="AB167" s="3"/>
      <c r="AD167" s="1"/>
      <c r="AE167" s="2"/>
    </row>
    <row r="168" spans="5:31" x14ac:dyDescent="0.25">
      <c r="E168" s="1"/>
      <c r="AA168" s="2"/>
      <c r="AB168" s="3"/>
      <c r="AD168" s="1"/>
      <c r="AE168" s="2"/>
    </row>
    <row r="169" spans="5:31" x14ac:dyDescent="0.25">
      <c r="E169" s="1"/>
      <c r="AA169" s="2"/>
      <c r="AB169" s="3"/>
      <c r="AD169" s="1"/>
      <c r="AE169" s="2"/>
    </row>
    <row r="170" spans="5:31" x14ac:dyDescent="0.25">
      <c r="E170" s="1"/>
      <c r="AA170" s="2"/>
      <c r="AB170" s="3"/>
      <c r="AD170" s="1"/>
      <c r="AE170" s="2"/>
    </row>
    <row r="171" spans="5:31" x14ac:dyDescent="0.25">
      <c r="E171" s="1"/>
      <c r="AA171" s="2"/>
      <c r="AB171" s="3"/>
      <c r="AD171" s="1"/>
      <c r="AE171" s="2"/>
    </row>
    <row r="172" spans="5:31" x14ac:dyDescent="0.25">
      <c r="E172" s="1"/>
      <c r="AA172" s="2"/>
      <c r="AB172" s="3"/>
      <c r="AD172" s="1"/>
      <c r="AE172" s="2"/>
    </row>
    <row r="173" spans="5:31" x14ac:dyDescent="0.25">
      <c r="E173" s="1"/>
      <c r="AA173" s="2"/>
      <c r="AB173" s="3"/>
      <c r="AD173" s="1"/>
      <c r="AE173" s="2"/>
    </row>
    <row r="174" spans="5:31" x14ac:dyDescent="0.25">
      <c r="E174" s="1"/>
      <c r="AA174" s="2"/>
      <c r="AB174" s="3"/>
      <c r="AD174" s="1"/>
      <c r="AE174" s="2"/>
    </row>
    <row r="175" spans="5:31" x14ac:dyDescent="0.25">
      <c r="E175" s="1"/>
      <c r="AA175" s="2"/>
      <c r="AB175" s="3"/>
      <c r="AD175" s="1"/>
      <c r="AE175" s="2"/>
    </row>
    <row r="176" spans="5:31" x14ac:dyDescent="0.25">
      <c r="E176" s="1"/>
      <c r="AA176" s="2"/>
      <c r="AB176" s="3"/>
      <c r="AD176" s="1"/>
      <c r="AE176" s="2"/>
    </row>
    <row r="177" spans="5:31" x14ac:dyDescent="0.25">
      <c r="E177" s="1"/>
      <c r="AA177" s="2"/>
      <c r="AB177" s="3"/>
      <c r="AD177" s="1"/>
      <c r="AE177" s="2"/>
    </row>
    <row r="178" spans="5:31" x14ac:dyDescent="0.25">
      <c r="E178" s="1"/>
      <c r="AA178" s="2"/>
      <c r="AB178" s="3"/>
      <c r="AD178" s="1"/>
      <c r="AE178" s="2"/>
    </row>
    <row r="179" spans="5:31" x14ac:dyDescent="0.25">
      <c r="E179" s="1"/>
      <c r="AA179" s="2"/>
      <c r="AB179" s="3"/>
      <c r="AD179" s="1"/>
      <c r="AE179" s="2"/>
    </row>
    <row r="180" spans="5:31" x14ac:dyDescent="0.25">
      <c r="E180" s="1"/>
      <c r="AA180" s="2"/>
      <c r="AB180" s="3"/>
      <c r="AD180" s="1"/>
      <c r="AE180" s="2"/>
    </row>
    <row r="181" spans="5:31" x14ac:dyDescent="0.25">
      <c r="E181" s="1"/>
      <c r="AA181" s="2"/>
      <c r="AB181" s="3"/>
      <c r="AD181" s="1"/>
      <c r="AE181" s="2"/>
    </row>
    <row r="182" spans="5:31" x14ac:dyDescent="0.25">
      <c r="E182" s="1"/>
      <c r="AA182" s="2"/>
      <c r="AB182" s="3"/>
      <c r="AD182" s="1"/>
      <c r="AE182" s="2"/>
    </row>
    <row r="183" spans="5:31" x14ac:dyDescent="0.25">
      <c r="E183" s="1"/>
      <c r="AA183" s="2"/>
      <c r="AB183" s="3"/>
      <c r="AD183" s="1"/>
      <c r="AE183" s="2"/>
    </row>
    <row r="184" spans="5:31" x14ac:dyDescent="0.25">
      <c r="E184" s="1"/>
      <c r="AA184" s="2"/>
      <c r="AB184" s="3"/>
      <c r="AD184" s="1"/>
      <c r="AE184" s="2"/>
    </row>
    <row r="185" spans="5:31" x14ac:dyDescent="0.25">
      <c r="E185" s="1"/>
      <c r="AA185" s="2"/>
      <c r="AB185" s="3"/>
      <c r="AD185" s="1"/>
      <c r="AE185" s="2"/>
    </row>
    <row r="186" spans="5:31" x14ac:dyDescent="0.25">
      <c r="E186" s="1"/>
      <c r="AA186" s="2"/>
      <c r="AB186" s="3"/>
      <c r="AD186" s="1"/>
      <c r="AE186" s="2"/>
    </row>
    <row r="187" spans="5:31" x14ac:dyDescent="0.25">
      <c r="E187" s="1"/>
      <c r="AA187" s="2"/>
      <c r="AB187" s="3"/>
      <c r="AD187" s="1"/>
      <c r="AE187" s="2"/>
    </row>
    <row r="188" spans="5:31" x14ac:dyDescent="0.25">
      <c r="E188" s="1"/>
      <c r="AA188" s="2"/>
      <c r="AB188" s="3"/>
      <c r="AD188" s="1"/>
      <c r="AE188" s="2"/>
    </row>
    <row r="189" spans="5:31" x14ac:dyDescent="0.25">
      <c r="E189" s="1"/>
      <c r="AA189" s="2"/>
      <c r="AB189" s="3"/>
      <c r="AD189" s="1"/>
      <c r="AE189" s="2"/>
    </row>
    <row r="190" spans="5:31" x14ac:dyDescent="0.25">
      <c r="E190" s="1"/>
      <c r="AA190" s="2"/>
      <c r="AB190" s="3"/>
      <c r="AD190" s="1"/>
      <c r="AE190" s="2"/>
    </row>
    <row r="191" spans="5:31" x14ac:dyDescent="0.25">
      <c r="E191" s="1"/>
      <c r="AA191" s="2"/>
      <c r="AB191" s="3"/>
      <c r="AD191" s="1"/>
      <c r="AE191" s="2"/>
    </row>
    <row r="192" spans="5:31" x14ac:dyDescent="0.25">
      <c r="E192" s="1"/>
      <c r="AA192" s="2"/>
      <c r="AB192" s="3"/>
      <c r="AD192" s="1"/>
      <c r="AE192" s="2"/>
    </row>
    <row r="193" spans="5:31" x14ac:dyDescent="0.25">
      <c r="E193" s="1"/>
      <c r="AA193" s="2"/>
      <c r="AB193" s="3"/>
      <c r="AD193" s="1"/>
      <c r="AE193" s="2"/>
    </row>
    <row r="194" spans="5:31" x14ac:dyDescent="0.25">
      <c r="E194" s="1"/>
      <c r="AA194" s="2"/>
      <c r="AB194" s="3"/>
      <c r="AD194" s="1"/>
      <c r="AE194" s="2"/>
    </row>
    <row r="195" spans="5:31" x14ac:dyDescent="0.25">
      <c r="E195" s="1"/>
      <c r="AA195" s="2"/>
      <c r="AB195" s="3"/>
      <c r="AD195" s="1"/>
      <c r="AE195" s="2"/>
    </row>
    <row r="196" spans="5:31" x14ac:dyDescent="0.25">
      <c r="E196" s="1"/>
      <c r="AA196" s="2"/>
      <c r="AB196" s="3"/>
      <c r="AD196" s="1"/>
      <c r="AE196" s="2"/>
    </row>
    <row r="197" spans="5:31" x14ac:dyDescent="0.25">
      <c r="E197" s="1"/>
      <c r="AA197" s="2"/>
      <c r="AB197" s="3"/>
      <c r="AD197" s="1"/>
      <c r="AE197" s="2"/>
    </row>
    <row r="198" spans="5:31" x14ac:dyDescent="0.25">
      <c r="E198" s="1"/>
      <c r="AA198" s="2"/>
      <c r="AB198" s="3"/>
      <c r="AD198" s="1"/>
      <c r="AE198" s="2"/>
    </row>
    <row r="199" spans="5:31" x14ac:dyDescent="0.25">
      <c r="E199" s="1"/>
      <c r="AA199" s="2"/>
      <c r="AB199" s="3"/>
      <c r="AD199" s="1"/>
      <c r="AE199" s="2"/>
    </row>
    <row r="200" spans="5:31" x14ac:dyDescent="0.25">
      <c r="E200" s="1"/>
      <c r="AA200" s="2"/>
      <c r="AB200" s="3"/>
      <c r="AD200" s="1"/>
      <c r="AE200" s="2"/>
    </row>
    <row r="201" spans="5:31" x14ac:dyDescent="0.25">
      <c r="E201" s="1"/>
      <c r="AA201" s="2"/>
      <c r="AB201" s="3"/>
      <c r="AD201" s="1"/>
      <c r="AE201" s="2"/>
    </row>
    <row r="202" spans="5:31" x14ac:dyDescent="0.25">
      <c r="E202" s="1"/>
      <c r="AA202" s="2"/>
      <c r="AB202" s="3"/>
      <c r="AD202" s="1"/>
      <c r="AE202" s="2"/>
    </row>
    <row r="203" spans="5:31" x14ac:dyDescent="0.25">
      <c r="E203" s="1"/>
      <c r="AA203" s="2"/>
      <c r="AB203" s="3"/>
      <c r="AD203" s="1"/>
      <c r="AE203" s="2"/>
    </row>
    <row r="204" spans="5:31" x14ac:dyDescent="0.25">
      <c r="E204" s="1"/>
      <c r="AA204" s="2"/>
      <c r="AB204" s="3"/>
      <c r="AD204" s="1"/>
      <c r="AE204" s="2"/>
    </row>
    <row r="205" spans="5:31" x14ac:dyDescent="0.25">
      <c r="E205" s="1"/>
      <c r="AA205" s="2"/>
      <c r="AB205" s="3"/>
      <c r="AD205" s="1"/>
      <c r="AE205" s="2"/>
    </row>
    <row r="206" spans="5:31" x14ac:dyDescent="0.25">
      <c r="E206" s="1"/>
      <c r="AA206" s="2"/>
      <c r="AB206" s="3"/>
      <c r="AD206" s="1"/>
      <c r="AE206" s="2"/>
    </row>
    <row r="207" spans="5:31" x14ac:dyDescent="0.25">
      <c r="E207" s="1"/>
      <c r="AA207" s="2"/>
      <c r="AB207" s="3"/>
      <c r="AD207" s="1"/>
      <c r="AE207" s="2"/>
    </row>
    <row r="208" spans="5:31" x14ac:dyDescent="0.25">
      <c r="E208" s="1"/>
      <c r="AA208" s="2"/>
      <c r="AB208" s="3"/>
      <c r="AD208" s="1"/>
      <c r="AE208" s="2"/>
    </row>
    <row r="209" spans="5:31" x14ac:dyDescent="0.25">
      <c r="E209" s="1"/>
      <c r="AA209" s="2"/>
      <c r="AB209" s="3"/>
      <c r="AD209" s="1"/>
      <c r="AE209" s="2"/>
    </row>
    <row r="210" spans="5:31" x14ac:dyDescent="0.25">
      <c r="E210" s="1"/>
      <c r="AA210" s="2"/>
      <c r="AB210" s="3"/>
      <c r="AD210" s="1"/>
      <c r="AE210" s="2"/>
    </row>
    <row r="211" spans="5:31" x14ac:dyDescent="0.25">
      <c r="E211" s="1"/>
      <c r="AA211" s="2"/>
      <c r="AB211" s="3"/>
      <c r="AD211" s="1"/>
      <c r="AE211" s="2"/>
    </row>
    <row r="212" spans="5:31" x14ac:dyDescent="0.25">
      <c r="E212" s="1"/>
      <c r="AA212" s="2"/>
      <c r="AB212" s="3"/>
      <c r="AD212" s="1"/>
      <c r="AE212" s="2"/>
    </row>
    <row r="213" spans="5:31" x14ac:dyDescent="0.25">
      <c r="E213" s="1"/>
      <c r="AA213" s="2"/>
      <c r="AB213" s="3"/>
      <c r="AD213" s="1"/>
      <c r="AE213" s="2"/>
    </row>
    <row r="214" spans="5:31" x14ac:dyDescent="0.25">
      <c r="E214" s="1"/>
      <c r="AA214" s="2"/>
      <c r="AB214" s="3"/>
      <c r="AD214" s="1"/>
      <c r="AE214" s="2"/>
    </row>
    <row r="215" spans="5:31" x14ac:dyDescent="0.25">
      <c r="E215" s="1"/>
      <c r="AA215" s="2"/>
      <c r="AB215" s="3"/>
      <c r="AD215" s="1"/>
      <c r="AE215" s="2"/>
    </row>
    <row r="216" spans="5:31" x14ac:dyDescent="0.25">
      <c r="E216" s="1"/>
      <c r="AA216" s="2"/>
      <c r="AB216" s="3"/>
      <c r="AD216" s="1"/>
      <c r="AE216" s="2"/>
    </row>
    <row r="217" spans="5:31" x14ac:dyDescent="0.25">
      <c r="E217" s="1"/>
      <c r="AA217" s="2"/>
      <c r="AB217" s="3"/>
      <c r="AD217" s="1"/>
      <c r="AE217" s="2"/>
    </row>
    <row r="218" spans="5:31" x14ac:dyDescent="0.25">
      <c r="E218" s="1"/>
      <c r="AA218" s="2"/>
      <c r="AB218" s="3"/>
      <c r="AD218" s="1"/>
      <c r="AE218" s="2"/>
    </row>
    <row r="219" spans="5:31" x14ac:dyDescent="0.25">
      <c r="E219" s="1"/>
      <c r="AA219" s="2"/>
      <c r="AB219" s="3"/>
      <c r="AD219" s="1"/>
      <c r="AE219" s="2"/>
    </row>
    <row r="220" spans="5:31" x14ac:dyDescent="0.25">
      <c r="E220" s="1"/>
      <c r="AA220" s="2"/>
      <c r="AB220" s="3"/>
      <c r="AD220" s="1"/>
      <c r="AE220" s="2"/>
    </row>
    <row r="221" spans="5:31" x14ac:dyDescent="0.25">
      <c r="E221" s="1"/>
      <c r="AA221" s="2"/>
      <c r="AB221" s="3"/>
      <c r="AD221" s="1"/>
      <c r="AE221" s="2"/>
    </row>
    <row r="222" spans="5:31" x14ac:dyDescent="0.25">
      <c r="E222" s="1"/>
      <c r="AA222" s="2"/>
      <c r="AB222" s="3"/>
      <c r="AD222" s="1"/>
      <c r="AE222" s="2"/>
    </row>
    <row r="223" spans="5:31" x14ac:dyDescent="0.25">
      <c r="E223" s="1"/>
      <c r="AA223" s="2"/>
      <c r="AB223" s="3"/>
      <c r="AD223" s="1"/>
      <c r="AE223" s="2"/>
    </row>
    <row r="224" spans="5:31" x14ac:dyDescent="0.25">
      <c r="E224" s="1"/>
      <c r="AA224" s="2"/>
      <c r="AB224" s="3"/>
      <c r="AD224" s="1"/>
      <c r="AE224" s="2"/>
    </row>
    <row r="225" spans="5:31" x14ac:dyDescent="0.25">
      <c r="E225" s="1"/>
      <c r="AA225" s="2"/>
      <c r="AB225" s="3"/>
      <c r="AD225" s="1"/>
      <c r="AE225" s="2"/>
    </row>
    <row r="226" spans="5:31" x14ac:dyDescent="0.25">
      <c r="E226" s="1"/>
      <c r="AA226" s="2"/>
      <c r="AB226" s="3"/>
      <c r="AD226" s="1"/>
      <c r="AE226" s="2"/>
    </row>
    <row r="227" spans="5:31" x14ac:dyDescent="0.25">
      <c r="E227" s="1"/>
      <c r="AA227" s="2"/>
      <c r="AB227" s="3"/>
      <c r="AD227" s="1"/>
      <c r="AE227" s="2"/>
    </row>
    <row r="228" spans="5:31" x14ac:dyDescent="0.25">
      <c r="E228" s="1"/>
      <c r="AA228" s="2"/>
      <c r="AB228" s="3"/>
      <c r="AD228" s="1"/>
      <c r="AE228" s="2"/>
    </row>
    <row r="229" spans="5:31" x14ac:dyDescent="0.25">
      <c r="E229" s="1"/>
      <c r="AA229" s="2"/>
      <c r="AB229" s="3"/>
      <c r="AD229" s="1"/>
      <c r="AE229" s="2"/>
    </row>
    <row r="230" spans="5:31" x14ac:dyDescent="0.25">
      <c r="E230" s="1"/>
      <c r="AA230" s="2"/>
      <c r="AB230" s="3"/>
      <c r="AD230" s="1"/>
      <c r="AE230" s="2"/>
    </row>
    <row r="231" spans="5:31" x14ac:dyDescent="0.25">
      <c r="E231" s="1"/>
      <c r="AA231" s="2"/>
      <c r="AB231" s="3"/>
      <c r="AD231" s="1"/>
      <c r="AE231" s="2"/>
    </row>
    <row r="232" spans="5:31" x14ac:dyDescent="0.25">
      <c r="E232" s="1"/>
      <c r="AA232" s="2"/>
      <c r="AB232" s="3"/>
      <c r="AD232" s="1"/>
      <c r="AE232" s="2"/>
    </row>
    <row r="233" spans="5:31" x14ac:dyDescent="0.25">
      <c r="E233" s="1"/>
      <c r="AA233" s="2"/>
      <c r="AB233" s="3"/>
      <c r="AD233" s="1"/>
      <c r="AE233" s="2"/>
    </row>
    <row r="234" spans="5:31" x14ac:dyDescent="0.25">
      <c r="E234" s="1"/>
      <c r="AA234" s="2"/>
      <c r="AB234" s="3"/>
      <c r="AD234" s="1"/>
      <c r="AE234" s="2"/>
    </row>
    <row r="235" spans="5:31" x14ac:dyDescent="0.25">
      <c r="E235" s="1"/>
      <c r="AA235" s="2"/>
      <c r="AB235" s="3"/>
      <c r="AD235" s="1"/>
      <c r="AE235" s="2"/>
    </row>
    <row r="236" spans="5:31" x14ac:dyDescent="0.25">
      <c r="E236" s="1"/>
      <c r="AA236" s="2"/>
      <c r="AB236" s="3"/>
      <c r="AD236" s="1"/>
      <c r="AE236" s="2"/>
    </row>
    <row r="237" spans="5:31" x14ac:dyDescent="0.25">
      <c r="E237" s="1"/>
      <c r="AA237" s="2"/>
      <c r="AB237" s="3"/>
      <c r="AD237" s="1"/>
      <c r="AE237" s="2"/>
    </row>
    <row r="238" spans="5:31" x14ac:dyDescent="0.25">
      <c r="E238" s="1"/>
      <c r="AA238" s="2"/>
      <c r="AB238" s="3"/>
      <c r="AD238" s="1"/>
      <c r="AE238" s="2"/>
    </row>
    <row r="239" spans="5:31" x14ac:dyDescent="0.25">
      <c r="E239" s="1"/>
      <c r="AA239" s="2"/>
      <c r="AB239" s="3"/>
      <c r="AD239" s="1"/>
      <c r="AE239" s="2"/>
    </row>
    <row r="240" spans="5:31" x14ac:dyDescent="0.25">
      <c r="E240" s="1"/>
      <c r="AA240" s="2"/>
      <c r="AB240" s="3"/>
      <c r="AD240" s="1"/>
      <c r="AE240" s="2"/>
    </row>
    <row r="241" spans="5:31" x14ac:dyDescent="0.25">
      <c r="E241" s="1"/>
      <c r="AA241" s="2"/>
      <c r="AB241" s="3"/>
      <c r="AD241" s="1"/>
      <c r="AE241" s="2"/>
    </row>
    <row r="242" spans="5:31" x14ac:dyDescent="0.25">
      <c r="E242" s="1"/>
      <c r="AA242" s="2"/>
      <c r="AB242" s="3"/>
      <c r="AD242" s="1"/>
      <c r="AE242" s="2"/>
    </row>
    <row r="243" spans="5:31" x14ac:dyDescent="0.25">
      <c r="E243" s="1"/>
      <c r="AA243" s="2"/>
      <c r="AB243" s="3"/>
      <c r="AD243" s="1"/>
      <c r="AE243" s="2"/>
    </row>
    <row r="244" spans="5:31" x14ac:dyDescent="0.25">
      <c r="E244" s="1"/>
      <c r="AA244" s="2"/>
      <c r="AB244" s="3"/>
      <c r="AD244" s="1"/>
      <c r="AE244" s="2"/>
    </row>
    <row r="245" spans="5:31" x14ac:dyDescent="0.25">
      <c r="E245" s="1"/>
      <c r="AA245" s="2"/>
      <c r="AB245" s="3"/>
      <c r="AD245" s="1"/>
      <c r="AE245" s="2"/>
    </row>
    <row r="246" spans="5:31" x14ac:dyDescent="0.25">
      <c r="E246" s="1"/>
      <c r="AA246" s="2"/>
      <c r="AB246" s="3"/>
      <c r="AD246" s="1"/>
      <c r="AE246" s="2"/>
    </row>
    <row r="247" spans="5:31" x14ac:dyDescent="0.25">
      <c r="E247" s="1"/>
      <c r="AA247" s="2"/>
      <c r="AB247" s="3"/>
      <c r="AD247" s="1"/>
      <c r="AE247" s="2"/>
    </row>
    <row r="248" spans="5:31" x14ac:dyDescent="0.25">
      <c r="E248" s="1"/>
      <c r="AA248" s="2"/>
      <c r="AB248" s="3"/>
      <c r="AD248" s="1"/>
      <c r="AE248" s="2"/>
    </row>
    <row r="249" spans="5:31" x14ac:dyDescent="0.25">
      <c r="E249" s="1"/>
      <c r="AA249" s="2"/>
      <c r="AB249" s="3"/>
      <c r="AD249" s="1"/>
      <c r="AE249" s="2"/>
    </row>
    <row r="250" spans="5:31" x14ac:dyDescent="0.25">
      <c r="E250" s="1"/>
      <c r="AA250" s="2"/>
      <c r="AB250" s="3"/>
      <c r="AD250" s="1"/>
      <c r="AE250" s="2"/>
    </row>
    <row r="251" spans="5:31" x14ac:dyDescent="0.25">
      <c r="E251" s="1"/>
      <c r="AA251" s="2"/>
      <c r="AB251" s="3"/>
      <c r="AD251" s="1"/>
      <c r="AE251" s="2"/>
    </row>
    <row r="252" spans="5:31" x14ac:dyDescent="0.25">
      <c r="E252" s="1"/>
      <c r="AA252" s="2"/>
      <c r="AB252" s="3"/>
      <c r="AD252" s="1"/>
      <c r="AE252" s="2"/>
    </row>
    <row r="253" spans="5:31" x14ac:dyDescent="0.25">
      <c r="E253" s="1"/>
      <c r="AA253" s="2"/>
      <c r="AB253" s="3"/>
      <c r="AD253" s="1"/>
      <c r="AE253" s="2"/>
    </row>
    <row r="254" spans="5:31" x14ac:dyDescent="0.25">
      <c r="E254" s="1"/>
      <c r="AA254" s="2"/>
      <c r="AB254" s="3"/>
      <c r="AD254" s="1"/>
      <c r="AE254" s="2"/>
    </row>
    <row r="255" spans="5:31" x14ac:dyDescent="0.25">
      <c r="E255" s="1"/>
      <c r="AA255" s="2"/>
      <c r="AB255" s="3"/>
      <c r="AD255" s="1"/>
      <c r="AE255" s="2"/>
    </row>
    <row r="256" spans="5:31" x14ac:dyDescent="0.25">
      <c r="E256" s="1"/>
      <c r="AA256" s="2"/>
      <c r="AB256" s="3"/>
      <c r="AD256" s="1"/>
      <c r="AE256" s="2"/>
    </row>
    <row r="257" spans="5:31" x14ac:dyDescent="0.25">
      <c r="E257" s="1"/>
      <c r="AA257" s="2"/>
      <c r="AB257" s="3"/>
      <c r="AD257" s="1"/>
      <c r="AE257" s="2"/>
    </row>
    <row r="258" spans="5:31" x14ac:dyDescent="0.25">
      <c r="E258" s="1"/>
      <c r="AA258" s="2"/>
      <c r="AB258" s="3"/>
      <c r="AD258" s="1"/>
      <c r="AE258" s="2"/>
    </row>
    <row r="259" spans="5:31" x14ac:dyDescent="0.25">
      <c r="E259" s="1"/>
      <c r="AA259" s="2"/>
      <c r="AB259" s="3"/>
      <c r="AD259" s="1"/>
      <c r="AE259" s="2"/>
    </row>
    <row r="260" spans="5:31" x14ac:dyDescent="0.25">
      <c r="E260" s="1"/>
      <c r="AA260" s="2"/>
      <c r="AB260" s="3"/>
      <c r="AD260" s="1"/>
      <c r="AE260" s="2"/>
    </row>
    <row r="261" spans="5:31" x14ac:dyDescent="0.25">
      <c r="E261" s="1"/>
      <c r="AA261" s="2"/>
      <c r="AB261" s="3"/>
      <c r="AD261" s="1"/>
      <c r="AE261" s="2"/>
    </row>
    <row r="262" spans="5:31" x14ac:dyDescent="0.25">
      <c r="E262" s="1"/>
      <c r="AA262" s="2"/>
      <c r="AB262" s="3"/>
      <c r="AD262" s="1"/>
      <c r="AE262" s="2"/>
    </row>
    <row r="263" spans="5:31" x14ac:dyDescent="0.25">
      <c r="E263" s="1"/>
      <c r="AA263" s="2"/>
      <c r="AB263" s="3"/>
      <c r="AD263" s="1"/>
      <c r="AE263" s="2"/>
    </row>
    <row r="264" spans="5:31" x14ac:dyDescent="0.25">
      <c r="E264" s="1"/>
      <c r="AA264" s="2"/>
      <c r="AB264" s="3"/>
      <c r="AD264" s="1"/>
      <c r="AE264" s="2"/>
    </row>
    <row r="265" spans="5:31" x14ac:dyDescent="0.25">
      <c r="E265" s="1"/>
      <c r="AA265" s="2"/>
      <c r="AB265" s="3"/>
      <c r="AD265" s="1"/>
      <c r="AE265" s="2"/>
    </row>
    <row r="266" spans="5:31" x14ac:dyDescent="0.25">
      <c r="E266" s="1"/>
      <c r="AA266" s="2"/>
      <c r="AB266" s="3"/>
      <c r="AD266" s="1"/>
      <c r="AE266" s="2"/>
    </row>
    <row r="267" spans="5:31" x14ac:dyDescent="0.25">
      <c r="E267" s="1"/>
      <c r="AA267" s="2"/>
      <c r="AB267" s="3"/>
      <c r="AD267" s="1"/>
      <c r="AE267" s="2"/>
    </row>
    <row r="268" spans="5:31" x14ac:dyDescent="0.25">
      <c r="E268" s="1"/>
      <c r="AA268" s="2"/>
      <c r="AB268" s="3"/>
      <c r="AD268" s="1"/>
      <c r="AE268" s="2"/>
    </row>
    <row r="269" spans="5:31" x14ac:dyDescent="0.25">
      <c r="E269" s="1"/>
      <c r="AA269" s="2"/>
      <c r="AB269" s="3"/>
      <c r="AD269" s="1"/>
      <c r="AE269" s="2"/>
    </row>
    <row r="270" spans="5:31" x14ac:dyDescent="0.25">
      <c r="E270" s="1"/>
      <c r="AA270" s="2"/>
      <c r="AB270" s="3"/>
      <c r="AD270" s="1"/>
      <c r="AE270" s="2"/>
    </row>
    <row r="271" spans="5:31" x14ac:dyDescent="0.25">
      <c r="E271" s="1"/>
      <c r="AA271" s="2"/>
      <c r="AB271" s="3"/>
      <c r="AD271" s="1"/>
      <c r="AE271" s="2"/>
    </row>
    <row r="272" spans="5:31" x14ac:dyDescent="0.25">
      <c r="E272" s="1"/>
      <c r="AA272" s="2"/>
      <c r="AB272" s="3"/>
      <c r="AD272" s="1"/>
      <c r="AE272" s="2"/>
    </row>
    <row r="273" spans="5:31" x14ac:dyDescent="0.25">
      <c r="E273" s="1"/>
      <c r="AA273" s="2"/>
      <c r="AB273" s="3"/>
      <c r="AD273" s="1"/>
      <c r="AE273" s="2"/>
    </row>
    <row r="274" spans="5:31" x14ac:dyDescent="0.25">
      <c r="E274" s="1"/>
      <c r="AA274" s="2"/>
      <c r="AB274" s="3"/>
      <c r="AD274" s="1"/>
      <c r="AE274" s="2"/>
    </row>
    <row r="275" spans="5:31" x14ac:dyDescent="0.25">
      <c r="E275" s="1"/>
      <c r="AA275" s="2"/>
      <c r="AB275" s="3"/>
      <c r="AD275" s="1"/>
      <c r="AE275" s="2"/>
    </row>
    <row r="276" spans="5:31" x14ac:dyDescent="0.25">
      <c r="E276" s="1"/>
      <c r="AA276" s="2"/>
      <c r="AB276" s="3"/>
      <c r="AD276" s="1"/>
      <c r="AE276" s="2"/>
    </row>
    <row r="277" spans="5:31" x14ac:dyDescent="0.25">
      <c r="E277" s="1"/>
      <c r="AA277" s="2"/>
      <c r="AB277" s="3"/>
      <c r="AD277" s="1"/>
      <c r="AE277" s="2"/>
    </row>
    <row r="278" spans="5:31" x14ac:dyDescent="0.25">
      <c r="E278" s="1"/>
      <c r="AA278" s="2"/>
      <c r="AB278" s="3"/>
      <c r="AD278" s="1"/>
      <c r="AE278" s="2"/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8278-9749-43A1-9FAD-4D48E06AB522}">
  <dimension ref="A1:AJ63"/>
  <sheetViews>
    <sheetView workbookViewId="0">
      <selection activeCell="AO12" sqref="AO12"/>
    </sheetView>
  </sheetViews>
  <sheetFormatPr defaultRowHeight="15" x14ac:dyDescent="0.25"/>
  <cols>
    <col min="2" max="2" width="13" customWidth="1"/>
    <col min="27" max="27" width="9.140625" style="6"/>
    <col min="34" max="34" width="9.140625" style="6"/>
  </cols>
  <sheetData>
    <row r="1" spans="1:36" x14ac:dyDescent="0.25">
      <c r="A1" t="s">
        <v>769</v>
      </c>
      <c r="B1" t="s">
        <v>71</v>
      </c>
      <c r="C1" t="s">
        <v>80</v>
      </c>
      <c r="D1" t="s">
        <v>1048</v>
      </c>
      <c r="E1" t="s">
        <v>77</v>
      </c>
      <c r="F1" t="s">
        <v>78</v>
      </c>
      <c r="G1" t="s">
        <v>1049</v>
      </c>
      <c r="H1" t="s">
        <v>72</v>
      </c>
      <c r="I1" t="s">
        <v>93</v>
      </c>
      <c r="J1" t="s">
        <v>1050</v>
      </c>
      <c r="K1" t="s">
        <v>92</v>
      </c>
      <c r="L1" t="s">
        <v>75</v>
      </c>
      <c r="M1" t="s">
        <v>73</v>
      </c>
      <c r="N1" t="s">
        <v>74</v>
      </c>
      <c r="O1" t="s">
        <v>775</v>
      </c>
      <c r="P1" t="s">
        <v>773</v>
      </c>
      <c r="Q1" t="s">
        <v>774</v>
      </c>
      <c r="R1" t="s">
        <v>96</v>
      </c>
      <c r="S1" t="s">
        <v>97</v>
      </c>
      <c r="T1" t="s">
        <v>98</v>
      </c>
      <c r="U1" t="s">
        <v>101</v>
      </c>
      <c r="V1" t="s">
        <v>99</v>
      </c>
      <c r="W1" t="s">
        <v>102</v>
      </c>
      <c r="X1" t="s">
        <v>103</v>
      </c>
      <c r="Y1" t="s">
        <v>100</v>
      </c>
      <c r="Z1" t="s">
        <v>104</v>
      </c>
      <c r="AA1" s="6" t="s">
        <v>105</v>
      </c>
      <c r="AB1" t="s">
        <v>107</v>
      </c>
      <c r="AC1" t="s">
        <v>106</v>
      </c>
      <c r="AD1" t="s">
        <v>109</v>
      </c>
      <c r="AE1" t="s">
        <v>108</v>
      </c>
      <c r="AF1" t="s">
        <v>897</v>
      </c>
      <c r="AG1" t="s">
        <v>898</v>
      </c>
      <c r="AH1" s="6" t="s">
        <v>899</v>
      </c>
      <c r="AI1" t="s">
        <v>110</v>
      </c>
      <c r="AJ1" t="s">
        <v>68</v>
      </c>
    </row>
    <row r="2" spans="1:36" x14ac:dyDescent="0.25">
      <c r="A2" t="s">
        <v>721</v>
      </c>
      <c r="B2" t="s">
        <v>910</v>
      </c>
      <c r="C2">
        <v>0</v>
      </c>
      <c r="E2">
        <v>-77.452742490000006</v>
      </c>
      <c r="F2">
        <v>169.275065933333</v>
      </c>
      <c r="G2" s="2">
        <v>45374.11041666667</v>
      </c>
      <c r="H2" s="1">
        <v>45374</v>
      </c>
      <c r="I2" s="3">
        <v>0.11050925925925927</v>
      </c>
      <c r="J2" t="s">
        <v>912</v>
      </c>
      <c r="K2" s="2">
        <v>45374.11041666667</v>
      </c>
      <c r="L2">
        <v>2024</v>
      </c>
      <c r="M2">
        <v>3</v>
      </c>
      <c r="N2">
        <v>23</v>
      </c>
      <c r="O2">
        <v>83</v>
      </c>
      <c r="P2" s="1">
        <v>45374</v>
      </c>
      <c r="Q2" t="s">
        <v>913</v>
      </c>
      <c r="R2" s="2">
        <v>45374.11041666667</v>
      </c>
      <c r="S2">
        <v>2.46969366073608</v>
      </c>
      <c r="T2">
        <v>255.18153381347599</v>
      </c>
      <c r="U2">
        <v>249.36331176757801</v>
      </c>
      <c r="V2">
        <v>71.457745461919302</v>
      </c>
      <c r="W2">
        <v>60.100016689999997</v>
      </c>
      <c r="X2">
        <v>71.457745461919302</v>
      </c>
      <c r="AJ2" t="s">
        <v>364</v>
      </c>
    </row>
    <row r="3" spans="1:36" x14ac:dyDescent="0.25">
      <c r="A3" t="s">
        <v>721</v>
      </c>
      <c r="B3" t="s">
        <v>914</v>
      </c>
      <c r="C3">
        <v>0</v>
      </c>
      <c r="E3">
        <v>-77.452742490000006</v>
      </c>
      <c r="F3">
        <v>169.275065933333</v>
      </c>
      <c r="G3" s="2">
        <v>45386.559027777781</v>
      </c>
      <c r="H3" s="1">
        <v>45386</v>
      </c>
      <c r="I3" s="3">
        <v>0.55964120370370374</v>
      </c>
      <c r="J3" t="s">
        <v>912</v>
      </c>
      <c r="K3" s="2">
        <v>45386.559027777781</v>
      </c>
      <c r="L3">
        <v>2024</v>
      </c>
      <c r="M3">
        <v>4</v>
      </c>
      <c r="N3">
        <v>4</v>
      </c>
      <c r="O3">
        <v>95</v>
      </c>
      <c r="P3" s="1">
        <v>45386</v>
      </c>
      <c r="Q3" t="s">
        <v>915</v>
      </c>
      <c r="R3" s="2">
        <v>45386.559027777781</v>
      </c>
      <c r="S3">
        <v>5.6897802352905202</v>
      </c>
      <c r="T3">
        <v>252.45138549804599</v>
      </c>
      <c r="U3">
        <v>250.23843383789</v>
      </c>
      <c r="V3">
        <v>100.39630532496599</v>
      </c>
      <c r="W3">
        <v>82.258888863453095</v>
      </c>
      <c r="X3">
        <v>100.39630532496599</v>
      </c>
      <c r="Y3">
        <v>0</v>
      </c>
      <c r="Z3">
        <v>7.00977900310422</v>
      </c>
      <c r="AA3" s="6">
        <v>0</v>
      </c>
      <c r="AB3">
        <v>7.7977664336333801</v>
      </c>
      <c r="AC3">
        <v>6.2032617114065403</v>
      </c>
      <c r="AD3">
        <v>0</v>
      </c>
      <c r="AE3">
        <v>0</v>
      </c>
      <c r="AF3">
        <v>0</v>
      </c>
      <c r="AG3">
        <v>0</v>
      </c>
      <c r="AH3" s="6">
        <v>0</v>
      </c>
      <c r="AI3">
        <v>-75.294764680636902</v>
      </c>
      <c r="AJ3" t="s">
        <v>364</v>
      </c>
    </row>
    <row r="4" spans="1:36" x14ac:dyDescent="0.25">
      <c r="A4" t="s">
        <v>721</v>
      </c>
      <c r="B4" t="s">
        <v>916</v>
      </c>
      <c r="C4">
        <v>0</v>
      </c>
      <c r="E4">
        <v>-77.452742490000006</v>
      </c>
      <c r="F4">
        <v>169.275065933333</v>
      </c>
      <c r="G4" s="2">
        <v>45388.931944444441</v>
      </c>
      <c r="H4" s="1">
        <v>45388</v>
      </c>
      <c r="I4" s="3">
        <v>0.93200231481481477</v>
      </c>
      <c r="J4" t="s">
        <v>912</v>
      </c>
      <c r="K4" s="2">
        <v>45388.931944444441</v>
      </c>
      <c r="L4">
        <v>2024</v>
      </c>
      <c r="M4">
        <v>4</v>
      </c>
      <c r="N4">
        <v>6</v>
      </c>
      <c r="O4">
        <v>97</v>
      </c>
      <c r="P4" s="1">
        <v>45388</v>
      </c>
      <c r="Q4" t="s">
        <v>917</v>
      </c>
      <c r="R4" s="2">
        <v>45388.931944444441</v>
      </c>
      <c r="S4">
        <v>11.379654884338301</v>
      </c>
      <c r="T4">
        <v>248.88491821289</v>
      </c>
      <c r="U4">
        <v>244.03688049316401</v>
      </c>
      <c r="V4">
        <v>80.676762100000005</v>
      </c>
      <c r="W4">
        <v>63.892188509790003</v>
      </c>
      <c r="X4">
        <v>80.676762100000005</v>
      </c>
      <c r="Y4">
        <v>20.551111111111101</v>
      </c>
      <c r="Z4">
        <v>8.1182152814576298</v>
      </c>
      <c r="AA4" s="6">
        <v>0</v>
      </c>
      <c r="AB4">
        <v>8.8831192739579592</v>
      </c>
      <c r="AC4">
        <v>7.2973992981832998</v>
      </c>
      <c r="AD4">
        <v>0</v>
      </c>
      <c r="AE4">
        <v>0</v>
      </c>
      <c r="AF4">
        <v>0</v>
      </c>
      <c r="AG4">
        <v>0</v>
      </c>
      <c r="AH4" s="6">
        <v>0</v>
      </c>
      <c r="AI4">
        <v>-90.311556306206299</v>
      </c>
      <c r="AJ4" t="s">
        <v>364</v>
      </c>
    </row>
    <row r="5" spans="1:36" x14ac:dyDescent="0.25">
      <c r="A5" t="s">
        <v>721</v>
      </c>
      <c r="B5" t="s">
        <v>918</v>
      </c>
      <c r="C5">
        <v>601.72007210000004</v>
      </c>
      <c r="D5" t="s">
        <v>919</v>
      </c>
      <c r="E5">
        <v>-77.452742490000006</v>
      </c>
      <c r="F5">
        <v>169.275065933333</v>
      </c>
      <c r="G5" s="2">
        <v>45405.636111111111</v>
      </c>
      <c r="H5" s="1">
        <v>45405</v>
      </c>
      <c r="I5" s="3">
        <v>0.63662037037037034</v>
      </c>
      <c r="J5" t="s">
        <v>714</v>
      </c>
      <c r="K5" s="2">
        <v>45405.636111111111</v>
      </c>
      <c r="L5">
        <v>2024</v>
      </c>
      <c r="M5">
        <v>4</v>
      </c>
      <c r="N5">
        <v>23</v>
      </c>
      <c r="O5">
        <v>114</v>
      </c>
      <c r="P5" s="1">
        <v>45405</v>
      </c>
      <c r="Q5" t="s">
        <v>920</v>
      </c>
      <c r="R5" s="2">
        <v>45405.636111111111</v>
      </c>
      <c r="S5">
        <v>4.7647199630737296</v>
      </c>
      <c r="T5">
        <v>248.78036499023401</v>
      </c>
      <c r="U5">
        <v>245.963775634765</v>
      </c>
      <c r="V5">
        <v>97.652549940821999</v>
      </c>
      <c r="W5">
        <v>77.259441601987902</v>
      </c>
      <c r="X5">
        <v>97.652549940821999</v>
      </c>
      <c r="Y5">
        <v>0</v>
      </c>
      <c r="Z5">
        <v>6.9792471782816001</v>
      </c>
      <c r="AA5" s="6">
        <v>4199.5531153193297</v>
      </c>
      <c r="AB5">
        <v>7.7722125493252703</v>
      </c>
      <c r="AC5">
        <v>6.1685150603458299</v>
      </c>
      <c r="AD5">
        <v>3711.71932686123</v>
      </c>
      <c r="AE5">
        <v>4676.6962955565205</v>
      </c>
      <c r="AF5">
        <v>3711.71932686123</v>
      </c>
      <c r="AG5">
        <v>4676.6962955565205</v>
      </c>
      <c r="AH5" s="6">
        <v>482.48848434764898</v>
      </c>
      <c r="AI5">
        <v>-74.892281148046493</v>
      </c>
      <c r="AJ5" t="s">
        <v>364</v>
      </c>
    </row>
    <row r="6" spans="1:36" x14ac:dyDescent="0.25">
      <c r="A6" t="s">
        <v>721</v>
      </c>
      <c r="B6" t="s">
        <v>921</v>
      </c>
      <c r="C6">
        <v>762.20534039999995</v>
      </c>
      <c r="D6" t="s">
        <v>919</v>
      </c>
      <c r="E6">
        <v>-77.452118630000001</v>
      </c>
      <c r="F6">
        <v>169.2749058</v>
      </c>
      <c r="G6" s="2">
        <v>45414.643750000003</v>
      </c>
      <c r="H6" s="1">
        <v>45414</v>
      </c>
      <c r="I6" s="3">
        <v>0.6441203703703704</v>
      </c>
      <c r="J6" t="s">
        <v>714</v>
      </c>
      <c r="K6" s="2">
        <v>45414.643750000003</v>
      </c>
      <c r="L6">
        <v>2024</v>
      </c>
      <c r="M6">
        <v>5</v>
      </c>
      <c r="N6">
        <v>2</v>
      </c>
      <c r="O6">
        <v>123</v>
      </c>
      <c r="P6" s="1">
        <v>45414</v>
      </c>
      <c r="Q6" t="s">
        <v>922</v>
      </c>
      <c r="R6" s="2">
        <v>45414.643750000003</v>
      </c>
      <c r="S6">
        <v>4.3964090347290004</v>
      </c>
      <c r="T6">
        <v>251.466873168945</v>
      </c>
      <c r="U6">
        <v>249.36892700195301</v>
      </c>
      <c r="V6">
        <v>102.215088011791</v>
      </c>
      <c r="W6">
        <v>82.964945242341599</v>
      </c>
      <c r="X6">
        <v>102.215088011791</v>
      </c>
      <c r="Y6">
        <v>0</v>
      </c>
      <c r="Z6">
        <v>6.8036944687199599</v>
      </c>
      <c r="AA6" s="6">
        <v>5185.8122585082901</v>
      </c>
      <c r="AB6">
        <v>7.59075532305783</v>
      </c>
      <c r="AC6">
        <v>6.00471063093614</v>
      </c>
      <c r="AD6">
        <v>4576.8225104561798</v>
      </c>
      <c r="AE6">
        <v>5785.7142449044004</v>
      </c>
      <c r="AF6">
        <v>4576.8225104561798</v>
      </c>
      <c r="AG6">
        <v>5785.7142449044004</v>
      </c>
      <c r="AH6" s="6">
        <v>604.44586722411395</v>
      </c>
      <c r="AI6">
        <v>-72.584079875436203</v>
      </c>
      <c r="AJ6" t="s">
        <v>364</v>
      </c>
    </row>
    <row r="7" spans="1:36" x14ac:dyDescent="0.25">
      <c r="A7" t="s">
        <v>721</v>
      </c>
      <c r="B7" t="s">
        <v>923</v>
      </c>
      <c r="C7">
        <v>550.15205509999998</v>
      </c>
      <c r="D7" t="s">
        <v>919</v>
      </c>
      <c r="E7">
        <v>-77.452081969999995</v>
      </c>
      <c r="F7">
        <v>169.2775054</v>
      </c>
      <c r="G7" s="2">
        <v>45429.933333333334</v>
      </c>
      <c r="H7" s="1">
        <v>45429</v>
      </c>
      <c r="I7" s="3">
        <v>0.93366898148148147</v>
      </c>
      <c r="J7" t="s">
        <v>714</v>
      </c>
      <c r="K7" s="2">
        <v>45429.933333333334</v>
      </c>
      <c r="L7">
        <v>2024</v>
      </c>
      <c r="M7">
        <v>5</v>
      </c>
      <c r="N7">
        <v>17</v>
      </c>
      <c r="O7">
        <v>138</v>
      </c>
      <c r="P7" s="1">
        <v>45429</v>
      </c>
      <c r="Q7" t="s">
        <v>924</v>
      </c>
      <c r="R7" s="2">
        <v>45429.933333333334</v>
      </c>
      <c r="S7">
        <v>4.5234117507934499</v>
      </c>
      <c r="T7">
        <v>250.31187438964801</v>
      </c>
      <c r="U7">
        <v>248.127349853515</v>
      </c>
      <c r="V7">
        <v>102.32946283342299</v>
      </c>
      <c r="W7">
        <v>82.147836163543403</v>
      </c>
      <c r="X7">
        <v>102.32946283342299</v>
      </c>
      <c r="Y7">
        <v>0</v>
      </c>
      <c r="Z7">
        <v>6.9270941701924702</v>
      </c>
      <c r="AA7" s="6">
        <v>3810.9550936026098</v>
      </c>
      <c r="AB7">
        <v>7.72593311342301</v>
      </c>
      <c r="AC7">
        <v>6.1119451448981801</v>
      </c>
      <c r="AD7">
        <v>3362.4991821242002</v>
      </c>
      <c r="AE7">
        <v>4250.4379799148101</v>
      </c>
      <c r="AF7">
        <v>3362.4991821242002</v>
      </c>
      <c r="AG7">
        <v>4250.4379799148101</v>
      </c>
      <c r="AH7" s="6">
        <v>443.96939889530501</v>
      </c>
      <c r="AI7">
        <v>-74.205552820922193</v>
      </c>
      <c r="AJ7" t="s">
        <v>364</v>
      </c>
    </row>
    <row r="8" spans="1:36" x14ac:dyDescent="0.25">
      <c r="A8" t="s">
        <v>721</v>
      </c>
      <c r="B8" t="s">
        <v>925</v>
      </c>
      <c r="C8">
        <v>487.16826250000003</v>
      </c>
      <c r="D8" t="s">
        <v>919</v>
      </c>
      <c r="E8">
        <v>-77.451571819999998</v>
      </c>
      <c r="F8">
        <v>169.27866761666601</v>
      </c>
      <c r="G8" s="2">
        <v>45444.622916666667</v>
      </c>
      <c r="H8" s="1">
        <v>45444</v>
      </c>
      <c r="I8" s="3">
        <v>0.62292824074074071</v>
      </c>
      <c r="J8" t="s">
        <v>714</v>
      </c>
      <c r="K8" s="2">
        <v>45444.622916666667</v>
      </c>
      <c r="L8">
        <v>2024</v>
      </c>
      <c r="M8">
        <v>6</v>
      </c>
      <c r="N8">
        <v>1</v>
      </c>
      <c r="O8">
        <v>153</v>
      </c>
      <c r="P8" s="1">
        <v>45444</v>
      </c>
      <c r="Q8" t="s">
        <v>926</v>
      </c>
      <c r="R8" s="2">
        <v>45444.622916666667</v>
      </c>
      <c r="S8">
        <v>4.4754505160000004</v>
      </c>
      <c r="T8">
        <v>258.07797241210898</v>
      </c>
      <c r="U8">
        <v>256.30722045898398</v>
      </c>
      <c r="V8">
        <v>99.713665044785301</v>
      </c>
      <c r="W8">
        <v>86.232437935496094</v>
      </c>
      <c r="X8">
        <v>99.713665044785301</v>
      </c>
      <c r="Y8">
        <v>0</v>
      </c>
      <c r="Z8">
        <v>6.2511807856276196</v>
      </c>
      <c r="AA8" s="6">
        <v>3045.3768819075899</v>
      </c>
      <c r="AB8">
        <v>6.9636138433235804</v>
      </c>
      <c r="AC8">
        <v>5.54276862014604</v>
      </c>
      <c r="AD8">
        <v>2700.26095811607</v>
      </c>
      <c r="AE8">
        <v>3392.4516567729002</v>
      </c>
      <c r="AF8">
        <v>2700.26095811607</v>
      </c>
      <c r="AG8">
        <v>3392.4516567729002</v>
      </c>
      <c r="AH8" s="6">
        <v>346.09534932841399</v>
      </c>
      <c r="AI8">
        <v>-65.353362708901102</v>
      </c>
      <c r="AJ8" t="s">
        <v>364</v>
      </c>
    </row>
    <row r="9" spans="1:36" x14ac:dyDescent="0.25">
      <c r="A9" t="s">
        <v>721</v>
      </c>
      <c r="B9" t="s">
        <v>927</v>
      </c>
      <c r="C9">
        <v>526.38559999999995</v>
      </c>
      <c r="D9" t="s">
        <v>919</v>
      </c>
      <c r="E9">
        <v>-77.452742490000006</v>
      </c>
      <c r="F9">
        <v>169.275065933333</v>
      </c>
      <c r="H9" s="1">
        <v>45450</v>
      </c>
      <c r="I9" s="3">
        <v>0.90152777777777782</v>
      </c>
      <c r="K9" s="2">
        <v>45450.901388888888</v>
      </c>
      <c r="L9">
        <v>2024</v>
      </c>
      <c r="M9">
        <v>6</v>
      </c>
      <c r="N9">
        <v>7</v>
      </c>
      <c r="O9">
        <v>159</v>
      </c>
      <c r="P9" s="1">
        <v>45450</v>
      </c>
      <c r="Q9" t="s">
        <v>928</v>
      </c>
      <c r="R9" s="2">
        <v>45450.901388888888</v>
      </c>
      <c r="S9">
        <v>5.4130721092224103</v>
      </c>
      <c r="T9">
        <v>251.91484069824199</v>
      </c>
      <c r="U9">
        <v>246.25407409667901</v>
      </c>
      <c r="V9">
        <v>73.644613506532593</v>
      </c>
      <c r="W9">
        <v>60.031439224853898</v>
      </c>
      <c r="X9">
        <v>73.644613506532593</v>
      </c>
      <c r="Y9">
        <v>0</v>
      </c>
      <c r="Z9">
        <v>6.2578805753446298</v>
      </c>
      <c r="AA9" s="6">
        <v>3294.0582213811199</v>
      </c>
      <c r="AB9">
        <v>6.9117165918323904</v>
      </c>
      <c r="AC9">
        <v>5.6072947467585701</v>
      </c>
      <c r="AD9">
        <v>2951.5992096493601</v>
      </c>
      <c r="AE9">
        <v>3638.22808522165</v>
      </c>
      <c r="AF9">
        <v>2951.5992096493601</v>
      </c>
      <c r="AG9">
        <v>3638.22808522165</v>
      </c>
      <c r="AH9" s="6">
        <v>343.31443778614403</v>
      </c>
      <c r="AI9">
        <v>-65.441016128864504</v>
      </c>
      <c r="AJ9" t="s">
        <v>364</v>
      </c>
    </row>
    <row r="10" spans="1:36" x14ac:dyDescent="0.25">
      <c r="A10" t="s">
        <v>721</v>
      </c>
      <c r="B10" t="s">
        <v>929</v>
      </c>
      <c r="C10">
        <v>492.67552840000002</v>
      </c>
      <c r="D10" t="s">
        <v>919</v>
      </c>
      <c r="E10">
        <v>-77.450947900000003</v>
      </c>
      <c r="F10">
        <v>169.28141289999999</v>
      </c>
      <c r="G10" s="2">
        <v>45463.531944444447</v>
      </c>
      <c r="H10" s="1">
        <v>45463</v>
      </c>
      <c r="I10" s="3">
        <v>0.53199074074074071</v>
      </c>
      <c r="J10" t="s">
        <v>714</v>
      </c>
      <c r="K10" s="2">
        <v>45463.531944444447</v>
      </c>
      <c r="L10">
        <v>2024</v>
      </c>
      <c r="M10">
        <v>6</v>
      </c>
      <c r="N10">
        <v>20</v>
      </c>
      <c r="O10">
        <v>172</v>
      </c>
      <c r="P10" s="1">
        <v>45463</v>
      </c>
      <c r="Q10" t="s">
        <v>930</v>
      </c>
      <c r="R10" s="2">
        <v>45463.531944444447</v>
      </c>
      <c r="S10">
        <v>4.7915935516357404</v>
      </c>
      <c r="T10">
        <v>253.74998474121</v>
      </c>
      <c r="U10">
        <v>251.18077087402301</v>
      </c>
      <c r="V10">
        <v>96.311906370000003</v>
      </c>
      <c r="W10">
        <v>79.899374424195003</v>
      </c>
      <c r="X10">
        <v>96.311906370000003</v>
      </c>
      <c r="Y10">
        <v>0</v>
      </c>
      <c r="Z10">
        <v>6.5712147425198699</v>
      </c>
      <c r="AA10" s="6">
        <v>3237.4766955008499</v>
      </c>
      <c r="AB10">
        <v>7.3151204541067196</v>
      </c>
      <c r="AC10">
        <v>5.8230813274701596</v>
      </c>
      <c r="AD10">
        <v>2868.8896699275301</v>
      </c>
      <c r="AE10">
        <v>3603.9808350366702</v>
      </c>
      <c r="AF10">
        <v>2868.8896699275301</v>
      </c>
      <c r="AG10">
        <v>3603.9808350366702</v>
      </c>
      <c r="AH10" s="6">
        <v>367.54558255457198</v>
      </c>
      <c r="AI10">
        <v>-69.538619584463902</v>
      </c>
      <c r="AJ10" t="s">
        <v>364</v>
      </c>
    </row>
    <row r="11" spans="1:36" x14ac:dyDescent="0.25">
      <c r="A11" t="s">
        <v>721</v>
      </c>
      <c r="B11" t="s">
        <v>931</v>
      </c>
      <c r="C11">
        <v>242.36949530000001</v>
      </c>
      <c r="D11" t="s">
        <v>932</v>
      </c>
      <c r="E11">
        <v>-77.451231899999996</v>
      </c>
      <c r="F11">
        <v>169.2811639</v>
      </c>
      <c r="G11" s="2">
        <v>45467.888888888891</v>
      </c>
      <c r="H11" s="1">
        <v>45467</v>
      </c>
      <c r="I11" s="3">
        <v>0.88950231481481479</v>
      </c>
      <c r="J11" t="s">
        <v>714</v>
      </c>
      <c r="K11" s="2">
        <v>45467.888888888891</v>
      </c>
      <c r="L11">
        <v>2024</v>
      </c>
      <c r="M11">
        <v>6</v>
      </c>
      <c r="N11">
        <v>24</v>
      </c>
      <c r="O11">
        <v>176</v>
      </c>
      <c r="P11" s="1">
        <v>45467</v>
      </c>
      <c r="Q11" t="s">
        <v>933</v>
      </c>
      <c r="R11" s="2">
        <v>45467.888888888891</v>
      </c>
      <c r="S11">
        <v>5.1856904029846103</v>
      </c>
      <c r="T11">
        <v>247.06262207031199</v>
      </c>
      <c r="U11">
        <v>243.61843872070301</v>
      </c>
      <c r="V11">
        <v>93.135496349999997</v>
      </c>
      <c r="W11">
        <v>72.495545572126204</v>
      </c>
      <c r="X11">
        <v>93.135496349999997</v>
      </c>
      <c r="Y11">
        <v>0</v>
      </c>
      <c r="Z11">
        <v>7.0953256075882898</v>
      </c>
      <c r="AA11" s="6">
        <v>1719.6904865003401</v>
      </c>
      <c r="AB11">
        <v>7.88651412991047</v>
      </c>
      <c r="AC11">
        <v>6.28263561045235</v>
      </c>
      <c r="AD11">
        <v>1522.7192220591401</v>
      </c>
      <c r="AE11">
        <v>1911.45044934272</v>
      </c>
      <c r="AF11">
        <v>1522.7192220591401</v>
      </c>
      <c r="AG11">
        <v>1911.45044934272</v>
      </c>
      <c r="AH11" s="6">
        <v>194.365613641788</v>
      </c>
      <c r="AI11">
        <v>-76.424446866111296</v>
      </c>
      <c r="AJ11" t="s">
        <v>364</v>
      </c>
    </row>
    <row r="12" spans="1:36" x14ac:dyDescent="0.25">
      <c r="A12" t="s">
        <v>721</v>
      </c>
      <c r="B12" t="s">
        <v>934</v>
      </c>
      <c r="C12">
        <v>280.22777000000002</v>
      </c>
      <c r="D12" t="s">
        <v>932</v>
      </c>
      <c r="E12">
        <v>-77.452742490000006</v>
      </c>
      <c r="F12">
        <v>169.275065933333</v>
      </c>
      <c r="H12" s="1">
        <v>45482</v>
      </c>
      <c r="I12" s="3">
        <v>0.77239583333333328</v>
      </c>
      <c r="K12" s="2">
        <v>45482.772222222222</v>
      </c>
      <c r="L12">
        <v>2024</v>
      </c>
      <c r="M12">
        <v>7</v>
      </c>
      <c r="N12">
        <v>9</v>
      </c>
      <c r="O12">
        <v>191</v>
      </c>
      <c r="P12" s="1">
        <v>45482</v>
      </c>
      <c r="Q12" t="s">
        <v>935</v>
      </c>
      <c r="R12" s="2">
        <v>45482.772222222222</v>
      </c>
      <c r="S12">
        <v>3.97489309310913</v>
      </c>
      <c r="T12">
        <v>246.70030212402301</v>
      </c>
      <c r="U12">
        <v>241.40586853027301</v>
      </c>
      <c r="V12">
        <v>78.140596393222594</v>
      </c>
      <c r="W12">
        <v>60.615662952513503</v>
      </c>
      <c r="X12">
        <v>78.140596393222594</v>
      </c>
      <c r="Y12">
        <v>0</v>
      </c>
      <c r="Z12">
        <v>6.4093253452582397</v>
      </c>
      <c r="AA12" s="6">
        <v>1796.0709487061899</v>
      </c>
      <c r="AB12">
        <v>7.1122964730643403</v>
      </c>
      <c r="AC12">
        <v>5.7064905487732496</v>
      </c>
      <c r="AD12">
        <v>1599.1171210088</v>
      </c>
      <c r="AE12">
        <v>1993.0629802256799</v>
      </c>
      <c r="AF12">
        <v>1599.1171210088</v>
      </c>
      <c r="AG12">
        <v>1993.0629802256799</v>
      </c>
      <c r="AH12" s="6">
        <v>196.97292960843899</v>
      </c>
      <c r="AI12">
        <v>-67.421540565255896</v>
      </c>
      <c r="AJ12" t="s">
        <v>364</v>
      </c>
    </row>
    <row r="13" spans="1:36" x14ac:dyDescent="0.25">
      <c r="A13" t="s">
        <v>721</v>
      </c>
      <c r="B13" t="s">
        <v>936</v>
      </c>
      <c r="C13">
        <v>274.67577669999997</v>
      </c>
      <c r="D13" t="s">
        <v>932</v>
      </c>
      <c r="E13">
        <v>-77.45059827</v>
      </c>
      <c r="F13">
        <v>169.283064</v>
      </c>
      <c r="G13" s="2">
        <v>45489.820833333331</v>
      </c>
      <c r="H13" s="1">
        <v>45489</v>
      </c>
      <c r="I13" s="3">
        <v>0.82128472222222226</v>
      </c>
      <c r="J13" t="s">
        <v>714</v>
      </c>
      <c r="K13" s="2">
        <v>45489.820833333331</v>
      </c>
      <c r="L13">
        <v>2024</v>
      </c>
      <c r="M13">
        <v>7</v>
      </c>
      <c r="N13">
        <v>16</v>
      </c>
      <c r="O13">
        <v>198</v>
      </c>
      <c r="P13" s="1">
        <v>45489</v>
      </c>
      <c r="Q13" t="s">
        <v>937</v>
      </c>
      <c r="R13" s="2">
        <v>45489.820833333331</v>
      </c>
      <c r="S13">
        <v>4.7451066970825204</v>
      </c>
      <c r="T13">
        <v>245.091384887695</v>
      </c>
      <c r="U13">
        <v>241.519760131835</v>
      </c>
      <c r="V13">
        <v>93.146810163115603</v>
      </c>
      <c r="W13">
        <v>71.168173710000005</v>
      </c>
      <c r="X13">
        <v>93.146810163115603</v>
      </c>
      <c r="Y13">
        <v>0</v>
      </c>
      <c r="Z13">
        <v>7.1329116182104899</v>
      </c>
      <c r="AA13" s="6">
        <v>1959.2380388644201</v>
      </c>
      <c r="AB13">
        <v>7.9337727175976704</v>
      </c>
      <c r="AC13">
        <v>6.30872884903496</v>
      </c>
      <c r="AD13">
        <v>1732.85499659837</v>
      </c>
      <c r="AE13">
        <v>2179.2151833674102</v>
      </c>
      <c r="AF13">
        <v>1732.85499659837</v>
      </c>
      <c r="AG13">
        <v>2179.2151833674102</v>
      </c>
      <c r="AH13" s="6">
        <v>223.18009338451699</v>
      </c>
      <c r="AI13">
        <v>-76.921785638140605</v>
      </c>
      <c r="AJ13" t="s">
        <v>364</v>
      </c>
    </row>
    <row r="14" spans="1:36" x14ac:dyDescent="0.25">
      <c r="A14" t="s">
        <v>721</v>
      </c>
      <c r="B14" t="s">
        <v>938</v>
      </c>
      <c r="C14">
        <v>402.79350299999999</v>
      </c>
      <c r="D14" t="s">
        <v>939</v>
      </c>
      <c r="E14">
        <v>-77.452742490000006</v>
      </c>
      <c r="F14">
        <v>169.275065933333</v>
      </c>
      <c r="H14" s="1">
        <v>45510</v>
      </c>
      <c r="I14" s="3">
        <v>0.57482638888888893</v>
      </c>
      <c r="K14" s="2">
        <v>45510.574305555558</v>
      </c>
      <c r="L14">
        <v>2024</v>
      </c>
      <c r="M14">
        <v>8</v>
      </c>
      <c r="N14">
        <v>6</v>
      </c>
      <c r="O14">
        <v>219</v>
      </c>
      <c r="P14" s="1">
        <v>45510</v>
      </c>
      <c r="Q14" t="s">
        <v>940</v>
      </c>
      <c r="R14" s="2">
        <v>45510.574305555558</v>
      </c>
      <c r="S14">
        <v>1.4086393117904601</v>
      </c>
      <c r="T14">
        <v>255.22633361816401</v>
      </c>
      <c r="U14">
        <v>252.94296264648401</v>
      </c>
      <c r="V14">
        <v>97.646190406898697</v>
      </c>
      <c r="W14">
        <v>82.161304921708904</v>
      </c>
      <c r="X14">
        <v>97.646190406898697</v>
      </c>
      <c r="Y14">
        <v>0</v>
      </c>
      <c r="Z14">
        <v>5.6304577591738303</v>
      </c>
      <c r="AA14" s="6">
        <v>2267.9118043111498</v>
      </c>
      <c r="AB14">
        <v>6.2899491309739899</v>
      </c>
      <c r="AC14">
        <v>4.9873824863517999</v>
      </c>
      <c r="AD14">
        <v>2008.8852624784899</v>
      </c>
      <c r="AE14">
        <v>2533.55064415682</v>
      </c>
      <c r="AF14">
        <v>2008.8852624784899</v>
      </c>
      <c r="AG14">
        <v>2533.55064415682</v>
      </c>
      <c r="AH14" s="6">
        <v>262.33269083916298</v>
      </c>
      <c r="AI14">
        <v>-57.186379482471402</v>
      </c>
      <c r="AJ14" t="s">
        <v>364</v>
      </c>
    </row>
    <row r="15" spans="1:36" x14ac:dyDescent="0.25">
      <c r="A15" t="s">
        <v>721</v>
      </c>
      <c r="B15" t="s">
        <v>941</v>
      </c>
      <c r="C15">
        <v>244.65450000000001</v>
      </c>
      <c r="D15" t="s">
        <v>939</v>
      </c>
      <c r="E15">
        <v>-77.452742490000006</v>
      </c>
      <c r="F15">
        <v>169.275065933333</v>
      </c>
      <c r="H15" s="1">
        <v>45513</v>
      </c>
      <c r="I15" s="3">
        <v>0.80996527777777783</v>
      </c>
      <c r="K15" s="2">
        <v>45513.80972222222</v>
      </c>
      <c r="L15">
        <v>2024</v>
      </c>
      <c r="M15">
        <v>8</v>
      </c>
      <c r="N15">
        <v>9</v>
      </c>
      <c r="O15">
        <v>222</v>
      </c>
      <c r="P15" s="1">
        <v>45513</v>
      </c>
      <c r="Q15" t="s">
        <v>942</v>
      </c>
      <c r="R15" s="2">
        <v>45513.80972222222</v>
      </c>
      <c r="S15">
        <v>6.9754929539999999</v>
      </c>
      <c r="T15">
        <v>257.517486572265</v>
      </c>
      <c r="U15">
        <v>253.29327392578099</v>
      </c>
      <c r="V15">
        <v>81.179236880000005</v>
      </c>
      <c r="W15">
        <v>69.826267237431097</v>
      </c>
      <c r="X15">
        <v>81.179236880000005</v>
      </c>
      <c r="Y15">
        <v>0</v>
      </c>
      <c r="Z15">
        <v>6.4340169911861098</v>
      </c>
      <c r="AA15" s="6">
        <v>1574.11120997014</v>
      </c>
      <c r="AB15">
        <v>7.1027189075750101</v>
      </c>
      <c r="AC15">
        <v>5.7649016017878498</v>
      </c>
      <c r="AD15">
        <v>1410.4091189346</v>
      </c>
      <c r="AE15">
        <v>1737.7121429733099</v>
      </c>
      <c r="AF15">
        <v>1410.4091189346</v>
      </c>
      <c r="AG15">
        <v>1737.7121429733099</v>
      </c>
      <c r="AH15" s="6">
        <v>163.651512019352</v>
      </c>
      <c r="AI15">
        <v>-67.744380203350303</v>
      </c>
      <c r="AJ15" t="s">
        <v>364</v>
      </c>
    </row>
    <row r="16" spans="1:36" x14ac:dyDescent="0.25">
      <c r="A16" t="s">
        <v>723</v>
      </c>
      <c r="B16" t="s">
        <v>943</v>
      </c>
      <c r="C16">
        <v>0</v>
      </c>
      <c r="E16">
        <v>-71.983345990000004</v>
      </c>
      <c r="F16">
        <v>170.59750446428501</v>
      </c>
      <c r="G16" s="2">
        <v>45381.456250000003</v>
      </c>
      <c r="H16" s="1">
        <v>45381</v>
      </c>
      <c r="I16" s="3">
        <v>0.45653935185185185</v>
      </c>
      <c r="J16" t="s">
        <v>912</v>
      </c>
      <c r="K16" s="2">
        <v>45381.456250000003</v>
      </c>
      <c r="L16">
        <v>2024</v>
      </c>
      <c r="M16">
        <v>3</v>
      </c>
      <c r="N16">
        <v>30</v>
      </c>
      <c r="O16">
        <v>90</v>
      </c>
      <c r="P16" s="1">
        <v>45381</v>
      </c>
      <c r="Q16" t="s">
        <v>944</v>
      </c>
      <c r="R16" s="2">
        <v>45381.456250000003</v>
      </c>
      <c r="S16">
        <v>4.1060914993286097</v>
      </c>
      <c r="T16">
        <v>256.47253417968699</v>
      </c>
      <c r="U16">
        <v>250.13088989257801</v>
      </c>
      <c r="V16">
        <v>67.770390969895701</v>
      </c>
      <c r="W16">
        <v>57.709888302143803</v>
      </c>
      <c r="X16">
        <v>67.770390969895701</v>
      </c>
      <c r="AJ16" t="s">
        <v>538</v>
      </c>
    </row>
    <row r="17" spans="1:36" x14ac:dyDescent="0.25">
      <c r="A17" t="s">
        <v>723</v>
      </c>
      <c r="B17" t="s">
        <v>945</v>
      </c>
      <c r="C17">
        <v>0</v>
      </c>
      <c r="E17">
        <v>-71.983345990000004</v>
      </c>
      <c r="F17">
        <v>170.59750446428501</v>
      </c>
      <c r="G17" s="2">
        <v>45394.570833333331</v>
      </c>
      <c r="H17" s="1">
        <v>45394</v>
      </c>
      <c r="I17" s="3">
        <v>0.57136574074074076</v>
      </c>
      <c r="J17" t="s">
        <v>912</v>
      </c>
      <c r="K17" s="2">
        <v>45394.570833333331</v>
      </c>
      <c r="L17">
        <v>2024</v>
      </c>
      <c r="M17">
        <v>4</v>
      </c>
      <c r="N17">
        <v>12</v>
      </c>
      <c r="O17">
        <v>103</v>
      </c>
      <c r="P17" s="1">
        <v>45394</v>
      </c>
      <c r="Q17" t="s">
        <v>946</v>
      </c>
      <c r="R17" s="2">
        <v>45394.570833333331</v>
      </c>
      <c r="S17">
        <v>7.762541294</v>
      </c>
      <c r="T17">
        <v>253.79872131347599</v>
      </c>
      <c r="U17">
        <v>246.63616943359301</v>
      </c>
      <c r="V17">
        <v>63.5982016424908</v>
      </c>
      <c r="W17">
        <v>52.785060813088997</v>
      </c>
      <c r="X17">
        <v>63.5982016424908</v>
      </c>
      <c r="Y17">
        <v>0</v>
      </c>
      <c r="Z17">
        <v>6.44475668693934</v>
      </c>
      <c r="AA17" s="6">
        <v>0</v>
      </c>
      <c r="AB17">
        <v>7.0727070907252303</v>
      </c>
      <c r="AC17">
        <v>5.8162355517586297</v>
      </c>
      <c r="AD17">
        <v>0</v>
      </c>
      <c r="AE17">
        <v>0</v>
      </c>
      <c r="AF17">
        <v>0</v>
      </c>
      <c r="AG17">
        <v>0</v>
      </c>
      <c r="AH17" s="6">
        <v>0</v>
      </c>
      <c r="AI17">
        <v>-67.884801881937605</v>
      </c>
      <c r="AJ17" t="s">
        <v>538</v>
      </c>
    </row>
    <row r="18" spans="1:36" x14ac:dyDescent="0.25">
      <c r="A18" t="s">
        <v>723</v>
      </c>
      <c r="B18" t="s">
        <v>947</v>
      </c>
      <c r="C18">
        <v>1929.412165</v>
      </c>
      <c r="D18" t="s">
        <v>919</v>
      </c>
      <c r="E18">
        <v>-71.983345990000004</v>
      </c>
      <c r="F18">
        <v>170.59750446428501</v>
      </c>
      <c r="G18" s="2">
        <v>45414.839583333334</v>
      </c>
      <c r="H18" s="1">
        <v>45414</v>
      </c>
      <c r="I18" s="3">
        <v>0.83984953703703702</v>
      </c>
      <c r="J18" t="s">
        <v>714</v>
      </c>
      <c r="K18" s="2">
        <v>45414.839583333334</v>
      </c>
      <c r="L18">
        <v>2024</v>
      </c>
      <c r="M18">
        <v>5</v>
      </c>
      <c r="N18">
        <v>2</v>
      </c>
      <c r="O18">
        <v>123</v>
      </c>
      <c r="P18" s="1">
        <v>45414</v>
      </c>
      <c r="Q18" t="s">
        <v>948</v>
      </c>
      <c r="R18" s="2">
        <v>45414.839583333334</v>
      </c>
      <c r="S18">
        <v>8.7646980285644496</v>
      </c>
      <c r="T18">
        <v>255.39471435546801</v>
      </c>
      <c r="U18">
        <v>248.74732971191401</v>
      </c>
      <c r="V18">
        <v>66.246478300000007</v>
      </c>
      <c r="W18">
        <v>55.831175801974801</v>
      </c>
      <c r="X18">
        <v>66.246478300000007</v>
      </c>
      <c r="Y18">
        <v>0</v>
      </c>
      <c r="Z18">
        <v>6.6513336584394098</v>
      </c>
      <c r="AA18" s="6">
        <v>12833.164074066901</v>
      </c>
      <c r="AB18">
        <v>7.2964484147874096</v>
      </c>
      <c r="AC18">
        <v>6.0013965995242602</v>
      </c>
      <c r="AD18">
        <v>11579.1676061117</v>
      </c>
      <c r="AE18">
        <v>14077.856332785699</v>
      </c>
      <c r="AF18">
        <v>11579.1676061117</v>
      </c>
      <c r="AG18">
        <v>14077.856332785699</v>
      </c>
      <c r="AH18" s="6">
        <v>1249.34436333702</v>
      </c>
      <c r="AI18">
        <v>-70.587155407372705</v>
      </c>
      <c r="AJ18" t="s">
        <v>538</v>
      </c>
    </row>
    <row r="19" spans="1:36" x14ac:dyDescent="0.25">
      <c r="A19" t="s">
        <v>723</v>
      </c>
      <c r="B19" t="s">
        <v>949</v>
      </c>
      <c r="C19">
        <v>1406.0468000000001</v>
      </c>
      <c r="D19" t="s">
        <v>919</v>
      </c>
      <c r="E19">
        <v>-71.984683369999999</v>
      </c>
      <c r="F19">
        <v>170.596798957142</v>
      </c>
      <c r="G19" s="2">
        <v>45421.857638888891</v>
      </c>
      <c r="H19" s="1">
        <v>45421</v>
      </c>
      <c r="I19" s="3">
        <v>0.8579282407407407</v>
      </c>
      <c r="J19" t="s">
        <v>714</v>
      </c>
      <c r="K19" s="2">
        <v>45421.857638888891</v>
      </c>
      <c r="L19">
        <v>2024</v>
      </c>
      <c r="M19">
        <v>5</v>
      </c>
      <c r="N19">
        <v>9</v>
      </c>
      <c r="O19">
        <v>130</v>
      </c>
      <c r="P19" s="1">
        <v>45421</v>
      </c>
      <c r="Q19" t="s">
        <v>950</v>
      </c>
      <c r="R19" s="2">
        <v>45421.857638888891</v>
      </c>
      <c r="S19">
        <v>3.2459075450897199</v>
      </c>
      <c r="T19">
        <v>251.05265808105401</v>
      </c>
      <c r="U19">
        <v>240.41726684570301</v>
      </c>
      <c r="V19">
        <v>45.958028271161602</v>
      </c>
      <c r="W19">
        <v>37.1555872868732</v>
      </c>
      <c r="X19">
        <v>45.958028271161602</v>
      </c>
      <c r="Y19">
        <v>0</v>
      </c>
      <c r="Z19">
        <v>5.0404501082818998</v>
      </c>
      <c r="AA19" s="6">
        <v>7087.1087453094196</v>
      </c>
      <c r="AB19">
        <v>5.4818158182958401</v>
      </c>
      <c r="AC19">
        <v>4.6123152738603297</v>
      </c>
      <c r="AD19">
        <v>6485.1311314024397</v>
      </c>
      <c r="AE19">
        <v>7707.6895895042499</v>
      </c>
      <c r="AF19">
        <v>6485.1311314024397</v>
      </c>
      <c r="AG19">
        <v>7707.6895895042499</v>
      </c>
      <c r="AH19" s="6">
        <v>611.279229050906</v>
      </c>
      <c r="AI19">
        <v>-49.240859274387603</v>
      </c>
      <c r="AJ19" t="s">
        <v>538</v>
      </c>
    </row>
    <row r="20" spans="1:36" x14ac:dyDescent="0.25">
      <c r="A20" t="s">
        <v>723</v>
      </c>
      <c r="B20" t="s">
        <v>951</v>
      </c>
      <c r="C20">
        <v>1588.0410199999999</v>
      </c>
      <c r="D20" t="s">
        <v>919</v>
      </c>
      <c r="E20">
        <v>-71.984524840000006</v>
      </c>
      <c r="F20">
        <v>170.59934686363599</v>
      </c>
      <c r="G20" s="2">
        <v>45429.885416666664</v>
      </c>
      <c r="H20" s="1">
        <v>45429</v>
      </c>
      <c r="I20" s="3">
        <v>0.88563657407407403</v>
      </c>
      <c r="J20" t="s">
        <v>714</v>
      </c>
      <c r="K20" s="2">
        <v>45429.885416666664</v>
      </c>
      <c r="L20">
        <v>2024</v>
      </c>
      <c r="M20">
        <v>5</v>
      </c>
      <c r="N20">
        <v>17</v>
      </c>
      <c r="O20">
        <v>138</v>
      </c>
      <c r="P20" s="1">
        <v>45429</v>
      </c>
      <c r="Q20" t="s">
        <v>952</v>
      </c>
      <c r="R20" s="2">
        <v>45429.885416666664</v>
      </c>
      <c r="S20">
        <v>1.9434893131256099</v>
      </c>
      <c r="T20">
        <v>251.9128418</v>
      </c>
      <c r="U20">
        <v>246.24101257324199</v>
      </c>
      <c r="V20">
        <v>73.569928777083504</v>
      </c>
      <c r="W20">
        <v>59.969414595471001</v>
      </c>
      <c r="X20">
        <v>73.569928777083504</v>
      </c>
      <c r="Y20">
        <v>0</v>
      </c>
      <c r="Z20">
        <v>5.3750973797074897</v>
      </c>
      <c r="AA20" s="6">
        <v>8535.8751254700201</v>
      </c>
      <c r="AB20">
        <v>5.9415706570712201</v>
      </c>
      <c r="AC20">
        <v>4.8248037539917696</v>
      </c>
      <c r="AD20">
        <v>7661.9862747889201</v>
      </c>
      <c r="AE20">
        <v>9435.4579266574601</v>
      </c>
      <c r="AF20">
        <v>7661.9862747889201</v>
      </c>
      <c r="AG20">
        <v>9435.4579266574601</v>
      </c>
      <c r="AH20" s="6">
        <v>886.73582593426795</v>
      </c>
      <c r="AI20">
        <v>-53.778182125585502</v>
      </c>
      <c r="AJ20" t="s">
        <v>538</v>
      </c>
    </row>
    <row r="21" spans="1:36" x14ac:dyDescent="0.25">
      <c r="A21" t="s">
        <v>723</v>
      </c>
      <c r="B21" t="s">
        <v>953</v>
      </c>
      <c r="C21">
        <v>1732.5897130000001</v>
      </c>
      <c r="D21" t="s">
        <v>919</v>
      </c>
      <c r="E21">
        <v>-71.983551930000004</v>
      </c>
      <c r="F21">
        <v>170.59823390769199</v>
      </c>
      <c r="G21" s="2">
        <v>45436.890277777777</v>
      </c>
      <c r="H21" s="1">
        <v>45436</v>
      </c>
      <c r="I21" s="3">
        <v>0.89031249999999995</v>
      </c>
      <c r="J21" t="s">
        <v>714</v>
      </c>
      <c r="K21" s="2">
        <v>45436.890277777777</v>
      </c>
      <c r="L21">
        <v>2024</v>
      </c>
      <c r="M21">
        <v>5</v>
      </c>
      <c r="N21">
        <v>24</v>
      </c>
      <c r="O21">
        <v>145</v>
      </c>
      <c r="P21" s="1">
        <v>45436</v>
      </c>
      <c r="Q21" t="s">
        <v>954</v>
      </c>
      <c r="R21" s="2">
        <v>45436.890277777777</v>
      </c>
      <c r="S21">
        <v>5.9176607131957999</v>
      </c>
      <c r="T21">
        <v>250.95536804199199</v>
      </c>
      <c r="U21">
        <v>243.73431396484301</v>
      </c>
      <c r="V21">
        <v>63.874901260531097</v>
      </c>
      <c r="W21">
        <v>51.592896079377503</v>
      </c>
      <c r="X21">
        <v>63.874901260531097</v>
      </c>
      <c r="Y21">
        <v>0</v>
      </c>
      <c r="Z21">
        <v>6.1964808725126304</v>
      </c>
      <c r="AA21" s="6">
        <v>10735.959016516599</v>
      </c>
      <c r="AB21">
        <v>6.8171007817714599</v>
      </c>
      <c r="AC21">
        <v>5.57992943147093</v>
      </c>
      <c r="AD21">
        <v>9667.7283322324802</v>
      </c>
      <c r="AE21">
        <v>11811.2386869815</v>
      </c>
      <c r="AF21">
        <v>9667.7283322324802</v>
      </c>
      <c r="AG21">
        <v>11811.2386869815</v>
      </c>
      <c r="AH21" s="6">
        <v>1071.7551773744999</v>
      </c>
      <c r="AI21">
        <v>-64.637530974027896</v>
      </c>
      <c r="AJ21" t="s">
        <v>538</v>
      </c>
    </row>
    <row r="22" spans="1:36" x14ac:dyDescent="0.25">
      <c r="A22" t="s">
        <v>723</v>
      </c>
      <c r="B22" t="s">
        <v>955</v>
      </c>
      <c r="C22">
        <v>1396.033592</v>
      </c>
      <c r="D22" t="s">
        <v>919</v>
      </c>
      <c r="E22">
        <v>-71.984505900000002</v>
      </c>
      <c r="F22">
        <v>170.598348063636</v>
      </c>
      <c r="G22" s="2">
        <v>45444.557638888888</v>
      </c>
      <c r="H22" s="1">
        <v>45444</v>
      </c>
      <c r="I22" s="3">
        <v>0.55822916666666667</v>
      </c>
      <c r="J22" t="s">
        <v>714</v>
      </c>
      <c r="K22" s="2">
        <v>45444.557638888888</v>
      </c>
      <c r="L22">
        <v>2024</v>
      </c>
      <c r="M22">
        <v>6</v>
      </c>
      <c r="N22">
        <v>1</v>
      </c>
      <c r="O22">
        <v>153</v>
      </c>
      <c r="P22" s="1">
        <v>45444</v>
      </c>
      <c r="Q22" t="s">
        <v>956</v>
      </c>
      <c r="R22" s="2">
        <v>45444.557638888888</v>
      </c>
      <c r="S22">
        <v>5.7154197692870996</v>
      </c>
      <c r="T22">
        <v>255.73977661132801</v>
      </c>
      <c r="U22">
        <v>249.174545288085</v>
      </c>
      <c r="V22">
        <v>66.641433933322105</v>
      </c>
      <c r="W22">
        <v>56.350429692175602</v>
      </c>
      <c r="X22">
        <v>66.641433933322105</v>
      </c>
      <c r="Y22">
        <v>0</v>
      </c>
      <c r="Z22">
        <v>5.8548555990954601</v>
      </c>
      <c r="AA22" s="6">
        <v>8173.5750926465498</v>
      </c>
      <c r="AB22">
        <v>6.4325062286578696</v>
      </c>
      <c r="AC22">
        <v>5.2862158048010297</v>
      </c>
      <c r="AD22">
        <v>7379.7348380635603</v>
      </c>
      <c r="AE22">
        <v>8979.9947759556308</v>
      </c>
      <c r="AF22">
        <v>7379.7348380635603</v>
      </c>
      <c r="AG22">
        <v>8979.9947759556308</v>
      </c>
      <c r="AH22" s="6">
        <v>800.12996894603305</v>
      </c>
      <c r="AI22">
        <v>-60.153247899463999</v>
      </c>
      <c r="AJ22" t="s">
        <v>538</v>
      </c>
    </row>
    <row r="23" spans="1:36" x14ac:dyDescent="0.25">
      <c r="A23" t="s">
        <v>723</v>
      </c>
      <c r="B23" t="s">
        <v>957</v>
      </c>
      <c r="C23">
        <v>1438.8727919999999</v>
      </c>
      <c r="D23" t="s">
        <v>919</v>
      </c>
      <c r="E23">
        <v>-71.985153280000006</v>
      </c>
      <c r="F23">
        <v>170.59429287692299</v>
      </c>
      <c r="G23" s="2">
        <v>45450.456250000003</v>
      </c>
      <c r="H23" s="1">
        <v>45450</v>
      </c>
      <c r="I23" s="3">
        <v>0.45643518518518517</v>
      </c>
      <c r="J23" t="s">
        <v>714</v>
      </c>
      <c r="K23" s="2">
        <v>45450.456250000003</v>
      </c>
      <c r="L23">
        <v>2024</v>
      </c>
      <c r="M23">
        <v>6</v>
      </c>
      <c r="N23">
        <v>7</v>
      </c>
      <c r="O23">
        <v>159</v>
      </c>
      <c r="P23" s="1">
        <v>45450</v>
      </c>
      <c r="Q23" t="s">
        <v>958</v>
      </c>
      <c r="R23" s="2">
        <v>45450.456250000003</v>
      </c>
      <c r="S23">
        <v>1.8652772903442301</v>
      </c>
      <c r="T23">
        <v>249.00399780273401</v>
      </c>
      <c r="U23">
        <v>243.28527832031199</v>
      </c>
      <c r="V23">
        <v>74.235850700595904</v>
      </c>
      <c r="W23">
        <v>58.857846389999999</v>
      </c>
      <c r="X23">
        <v>74.235850700595904</v>
      </c>
      <c r="Y23">
        <v>0</v>
      </c>
      <c r="Z23">
        <v>5.5908474644415502</v>
      </c>
      <c r="AA23" s="6">
        <v>8044.5183008071299</v>
      </c>
      <c r="AB23">
        <v>6.1956672920342797</v>
      </c>
      <c r="AC23">
        <v>5.0005674079990303</v>
      </c>
      <c r="AD23">
        <v>7195.1803879317604</v>
      </c>
      <c r="AE23">
        <v>8914.7770947924491</v>
      </c>
      <c r="AF23">
        <v>7195.1803879317604</v>
      </c>
      <c r="AG23">
        <v>8914.7770947924491</v>
      </c>
      <c r="AH23" s="6">
        <v>859.79835343034097</v>
      </c>
      <c r="AI23">
        <v>-56.660207865300798</v>
      </c>
      <c r="AJ23" t="s">
        <v>538</v>
      </c>
    </row>
    <row r="24" spans="1:36" x14ac:dyDescent="0.25">
      <c r="A24" t="s">
        <v>723</v>
      </c>
      <c r="B24" t="s">
        <v>959</v>
      </c>
      <c r="C24">
        <v>955.14002410000001</v>
      </c>
      <c r="D24" t="s">
        <v>932</v>
      </c>
      <c r="E24">
        <v>-71.984573019999999</v>
      </c>
      <c r="F24">
        <v>170.600429977777</v>
      </c>
      <c r="G24" s="2">
        <v>45464.513194444444</v>
      </c>
      <c r="H24" s="1">
        <v>45464</v>
      </c>
      <c r="I24" s="3">
        <v>0.51364583333333336</v>
      </c>
      <c r="J24" t="s">
        <v>714</v>
      </c>
      <c r="K24" s="2">
        <v>45464.513194444444</v>
      </c>
      <c r="L24">
        <v>2024</v>
      </c>
      <c r="M24">
        <v>6</v>
      </c>
      <c r="N24">
        <v>21</v>
      </c>
      <c r="O24">
        <v>173</v>
      </c>
      <c r="P24" s="1">
        <v>45464</v>
      </c>
      <c r="Q24" t="s">
        <v>960</v>
      </c>
      <c r="R24" s="2">
        <v>45464.513194444444</v>
      </c>
      <c r="S24">
        <v>9.4608068466186506</v>
      </c>
      <c r="T24">
        <v>250.18325805664</v>
      </c>
      <c r="U24">
        <v>245.877349853515</v>
      </c>
      <c r="V24">
        <v>84.273675364621496</v>
      </c>
      <c r="W24">
        <v>67.570206619999993</v>
      </c>
      <c r="X24">
        <v>84.273675364621496</v>
      </c>
      <c r="Y24">
        <v>0</v>
      </c>
      <c r="Z24">
        <v>7.6987314274335903</v>
      </c>
      <c r="AA24" s="6">
        <v>7353.3665211383504</v>
      </c>
      <c r="AB24">
        <v>8.4692554240657696</v>
      </c>
      <c r="AC24">
        <v>6.8875871410322898</v>
      </c>
      <c r="AD24">
        <v>6578.6101478764303</v>
      </c>
      <c r="AE24">
        <v>8089.3248298512399</v>
      </c>
      <c r="AF24">
        <v>6578.6101478764303</v>
      </c>
      <c r="AG24">
        <v>8089.3248298512399</v>
      </c>
      <c r="AH24" s="6">
        <v>755.35734098740295</v>
      </c>
      <c r="AI24">
        <v>-84.509886185710201</v>
      </c>
      <c r="AJ24" t="s">
        <v>538</v>
      </c>
    </row>
    <row r="25" spans="1:36" x14ac:dyDescent="0.25">
      <c r="A25" t="s">
        <v>723</v>
      </c>
      <c r="B25" t="s">
        <v>961</v>
      </c>
      <c r="C25">
        <v>842.16137470000001</v>
      </c>
      <c r="D25" t="s">
        <v>932</v>
      </c>
      <c r="E25">
        <v>-71.984676269999994</v>
      </c>
      <c r="F25">
        <v>170.59599143333301</v>
      </c>
      <c r="G25" s="2">
        <v>45468.879861111112</v>
      </c>
      <c r="H25" s="1">
        <v>45468</v>
      </c>
      <c r="I25" s="3">
        <v>0.87994212962962959</v>
      </c>
      <c r="J25" t="s">
        <v>714</v>
      </c>
      <c r="K25" s="2">
        <v>45468.879861111112</v>
      </c>
      <c r="L25">
        <v>2024</v>
      </c>
      <c r="M25">
        <v>6</v>
      </c>
      <c r="N25">
        <v>25</v>
      </c>
      <c r="O25">
        <v>177</v>
      </c>
      <c r="P25" s="1">
        <v>45468</v>
      </c>
      <c r="Q25" t="s">
        <v>962</v>
      </c>
      <c r="R25" s="2">
        <v>45468.879861111112</v>
      </c>
      <c r="S25">
        <v>1.9147751331329299</v>
      </c>
      <c r="T25">
        <v>248.28167724609301</v>
      </c>
      <c r="U25">
        <v>242.72033691406199</v>
      </c>
      <c r="V25">
        <v>75.605384154454399</v>
      </c>
      <c r="W25">
        <v>59.533957051239298</v>
      </c>
      <c r="X25">
        <v>75.605384154454399</v>
      </c>
      <c r="Y25">
        <v>0</v>
      </c>
      <c r="Z25">
        <v>5.6943156376941202</v>
      </c>
      <c r="AA25" s="6">
        <v>4795.5326854161804</v>
      </c>
      <c r="AB25">
        <v>6.3176075937033298</v>
      </c>
      <c r="AC25">
        <v>5.0845066255139901</v>
      </c>
      <c r="AD25">
        <v>4281.9750894141198</v>
      </c>
      <c r="AE25">
        <v>5320.4450959283604</v>
      </c>
      <c r="AF25">
        <v>4281.9750894141198</v>
      </c>
      <c r="AG25">
        <v>5320.4450959283604</v>
      </c>
      <c r="AH25" s="6">
        <v>519.235003257117</v>
      </c>
      <c r="AI25">
        <v>-58.0329700073111</v>
      </c>
      <c r="AJ25" t="s">
        <v>538</v>
      </c>
    </row>
    <row r="26" spans="1:36" ht="15.75" customHeight="1" x14ac:dyDescent="0.25">
      <c r="A26" t="s">
        <v>723</v>
      </c>
      <c r="B26" t="s">
        <v>963</v>
      </c>
      <c r="C26">
        <v>930.75682059999997</v>
      </c>
      <c r="D26" t="s">
        <v>932</v>
      </c>
      <c r="E26">
        <v>-71.985043390000001</v>
      </c>
      <c r="F26">
        <v>170.6026991</v>
      </c>
      <c r="G26" s="2">
        <v>45483.550694444442</v>
      </c>
      <c r="H26" s="1">
        <v>45483</v>
      </c>
      <c r="I26" s="3">
        <v>0.5512731481481481</v>
      </c>
      <c r="J26" t="s">
        <v>714</v>
      </c>
      <c r="K26" s="2">
        <v>45483.550694444442</v>
      </c>
      <c r="L26">
        <v>2024</v>
      </c>
      <c r="M26">
        <v>7</v>
      </c>
      <c r="N26">
        <v>10</v>
      </c>
      <c r="O26">
        <v>192</v>
      </c>
      <c r="P26" s="1">
        <v>45483</v>
      </c>
      <c r="Q26" t="s">
        <v>964</v>
      </c>
      <c r="R26" s="2">
        <v>45483.550694444442</v>
      </c>
      <c r="S26">
        <v>2.1959762573242099</v>
      </c>
      <c r="T26">
        <v>249.76506042480401</v>
      </c>
      <c r="U26">
        <v>243.83044433593699</v>
      </c>
      <c r="V26">
        <v>72.485929039237107</v>
      </c>
      <c r="W26">
        <v>57.8878918622014</v>
      </c>
      <c r="X26">
        <v>72.485929039237107</v>
      </c>
      <c r="Y26">
        <v>0</v>
      </c>
      <c r="Z26">
        <v>5.5704930029165602</v>
      </c>
      <c r="AA26" s="6">
        <v>5184.7743565691599</v>
      </c>
      <c r="AB26">
        <v>6.1640927021963199</v>
      </c>
      <c r="AC26">
        <v>4.9912543109492802</v>
      </c>
      <c r="AD26">
        <v>4645.6439932651901</v>
      </c>
      <c r="AE26">
        <v>5737.2713253799102</v>
      </c>
      <c r="AF26">
        <v>4645.6439932651901</v>
      </c>
      <c r="AG26">
        <v>5737.2713253799102</v>
      </c>
      <c r="AH26" s="6">
        <v>545.81366605735695</v>
      </c>
      <c r="AI26">
        <v>-56.389497446248299</v>
      </c>
      <c r="AJ26" t="s">
        <v>538</v>
      </c>
    </row>
    <row r="27" spans="1:36" x14ac:dyDescent="0.25">
      <c r="A27" t="s">
        <v>723</v>
      </c>
      <c r="B27" t="s">
        <v>965</v>
      </c>
      <c r="C27">
        <v>721.79075709999995</v>
      </c>
      <c r="D27" t="s">
        <v>932</v>
      </c>
      <c r="E27">
        <v>-71.986823200000003</v>
      </c>
      <c r="F27">
        <v>170.59846590000001</v>
      </c>
      <c r="G27" s="2">
        <v>45489.495138888888</v>
      </c>
      <c r="H27" s="1">
        <v>45489</v>
      </c>
      <c r="I27" s="3">
        <v>0.49538194444444444</v>
      </c>
      <c r="J27" t="s">
        <v>714</v>
      </c>
      <c r="K27" s="2">
        <v>45489.495138888888</v>
      </c>
      <c r="L27">
        <v>2024</v>
      </c>
      <c r="M27">
        <v>7</v>
      </c>
      <c r="N27">
        <v>16</v>
      </c>
      <c r="O27">
        <v>198</v>
      </c>
      <c r="P27" s="1">
        <v>45489</v>
      </c>
      <c r="Q27" t="s">
        <v>966</v>
      </c>
      <c r="R27" s="2">
        <v>45489.495138888888</v>
      </c>
      <c r="S27">
        <v>1.6893292665481501</v>
      </c>
      <c r="T27">
        <v>250.10177612304599</v>
      </c>
      <c r="U27">
        <v>242.53895568847599</v>
      </c>
      <c r="V27">
        <v>61.988868200934199</v>
      </c>
      <c r="W27">
        <v>49.663803065680199</v>
      </c>
      <c r="X27">
        <v>61.988868200934199</v>
      </c>
      <c r="Y27">
        <v>0</v>
      </c>
      <c r="Z27">
        <v>5.1429376180825299</v>
      </c>
      <c r="AA27" s="6">
        <v>3712.1248370738599</v>
      </c>
      <c r="AB27">
        <v>5.6524413248594696</v>
      </c>
      <c r="AC27">
        <v>4.6496091591573503</v>
      </c>
      <c r="AD27">
        <v>3356.0449152072802</v>
      </c>
      <c r="AE27">
        <v>4079.87990333364</v>
      </c>
      <c r="AF27">
        <v>3356.0449152072802</v>
      </c>
      <c r="AG27">
        <v>4079.87990333364</v>
      </c>
      <c r="AH27" s="6">
        <v>361.917494063182</v>
      </c>
      <c r="AI27">
        <v>-50.640457264279597</v>
      </c>
      <c r="AJ27" t="s">
        <v>538</v>
      </c>
    </row>
    <row r="28" spans="1:36" x14ac:dyDescent="0.25">
      <c r="A28" t="s">
        <v>723</v>
      </c>
      <c r="B28" t="s">
        <v>967</v>
      </c>
      <c r="C28">
        <v>979.63927969999997</v>
      </c>
      <c r="D28" t="s">
        <v>939</v>
      </c>
      <c r="E28">
        <v>-71.984439010000003</v>
      </c>
      <c r="F28">
        <v>170.59524640000001</v>
      </c>
      <c r="G28" s="2">
        <v>45513.873611111114</v>
      </c>
      <c r="H28" s="1">
        <v>45513</v>
      </c>
      <c r="I28" s="3">
        <v>0.87428240740740737</v>
      </c>
      <c r="J28" t="s">
        <v>714</v>
      </c>
      <c r="K28" s="2">
        <v>45513.873611111114</v>
      </c>
      <c r="L28">
        <v>2024</v>
      </c>
      <c r="M28">
        <v>8</v>
      </c>
      <c r="N28">
        <v>9</v>
      </c>
      <c r="O28">
        <v>222</v>
      </c>
      <c r="P28" s="1">
        <v>45513</v>
      </c>
      <c r="Q28" t="s">
        <v>968</v>
      </c>
      <c r="R28" s="2">
        <v>45513.873611111114</v>
      </c>
      <c r="S28">
        <v>6.1001949310302699</v>
      </c>
      <c r="T28">
        <v>254.52976989746</v>
      </c>
      <c r="U28">
        <v>245.88897705078099</v>
      </c>
      <c r="V28">
        <v>55.3431859647594</v>
      </c>
      <c r="W28">
        <v>46.256606230000003</v>
      </c>
      <c r="X28">
        <v>55.3431859647594</v>
      </c>
      <c r="Y28">
        <v>0</v>
      </c>
      <c r="Z28">
        <v>5.7415360204327301</v>
      </c>
      <c r="AA28" s="6">
        <v>5624.6342114283198</v>
      </c>
      <c r="AB28">
        <v>6.2758148373602998</v>
      </c>
      <c r="AC28">
        <v>5.2165402276145603</v>
      </c>
      <c r="AD28">
        <v>5110.3277111063999</v>
      </c>
      <c r="AE28">
        <v>6148.0347268022197</v>
      </c>
      <c r="AF28">
        <v>5110.3277111063999</v>
      </c>
      <c r="AG28">
        <v>6148.0347268022197</v>
      </c>
      <c r="AH28" s="6">
        <v>518.85350784791103</v>
      </c>
      <c r="AI28">
        <v>-58.657748331944298</v>
      </c>
      <c r="AJ28" t="s">
        <v>538</v>
      </c>
    </row>
    <row r="29" spans="1:36" x14ac:dyDescent="0.25">
      <c r="A29" t="s">
        <v>715</v>
      </c>
      <c r="B29" t="s">
        <v>969</v>
      </c>
      <c r="C29">
        <v>0</v>
      </c>
      <c r="E29">
        <v>-74.646391159999993</v>
      </c>
      <c r="F29">
        <v>165.38680590000001</v>
      </c>
      <c r="G29" s="2">
        <v>45381.511111111111</v>
      </c>
      <c r="H29" s="1">
        <v>45381</v>
      </c>
      <c r="I29" s="3">
        <v>0.51124999999999998</v>
      </c>
      <c r="J29" t="s">
        <v>912</v>
      </c>
      <c r="K29" s="2">
        <v>45381.511111111111</v>
      </c>
      <c r="L29">
        <v>2024</v>
      </c>
      <c r="M29">
        <v>3</v>
      </c>
      <c r="N29">
        <v>30</v>
      </c>
      <c r="O29">
        <v>90</v>
      </c>
      <c r="P29" s="1">
        <v>45381</v>
      </c>
      <c r="Q29" t="s">
        <v>970</v>
      </c>
      <c r="R29" s="2">
        <v>45381.511111111111</v>
      </c>
      <c r="S29">
        <v>9.3829116821288991</v>
      </c>
      <c r="T29">
        <v>257.86315917968699</v>
      </c>
      <c r="U29">
        <v>250.32229614257801</v>
      </c>
      <c r="V29">
        <v>60.549972254874</v>
      </c>
      <c r="W29">
        <v>52.255518775000098</v>
      </c>
      <c r="X29">
        <v>60.549972254874</v>
      </c>
      <c r="AJ29" t="s">
        <v>623</v>
      </c>
    </row>
    <row r="30" spans="1:36" x14ac:dyDescent="0.25">
      <c r="A30" t="s">
        <v>715</v>
      </c>
      <c r="B30" t="s">
        <v>971</v>
      </c>
      <c r="C30">
        <v>844.40689629999997</v>
      </c>
      <c r="D30" t="s">
        <v>919</v>
      </c>
      <c r="E30">
        <v>-74.646391159999993</v>
      </c>
      <c r="F30">
        <v>165.38680590000001</v>
      </c>
      <c r="G30" s="2">
        <v>45405.54583333333</v>
      </c>
      <c r="H30" s="1">
        <v>45405</v>
      </c>
      <c r="I30" s="3">
        <v>0.54615740740740737</v>
      </c>
      <c r="J30" t="s">
        <v>714</v>
      </c>
      <c r="K30" s="2">
        <v>45405.54583333333</v>
      </c>
      <c r="L30">
        <v>2024</v>
      </c>
      <c r="M30">
        <v>4</v>
      </c>
      <c r="N30">
        <v>23</v>
      </c>
      <c r="O30">
        <v>114</v>
      </c>
      <c r="P30" s="1">
        <v>45405</v>
      </c>
      <c r="Q30" t="s">
        <v>972</v>
      </c>
      <c r="R30" s="2">
        <v>45405.54583333333</v>
      </c>
      <c r="S30">
        <v>3.95311427116394</v>
      </c>
      <c r="T30">
        <v>250.61288452148401</v>
      </c>
      <c r="U30">
        <v>244.75305175781199</v>
      </c>
      <c r="V30">
        <v>72.726846690000002</v>
      </c>
      <c r="W30">
        <v>58.551234895434099</v>
      </c>
      <c r="X30">
        <v>72.726846690000002</v>
      </c>
      <c r="Y30">
        <v>0</v>
      </c>
      <c r="Z30">
        <v>5.9588105541939003</v>
      </c>
      <c r="AA30" s="6">
        <v>5031.6607257065498</v>
      </c>
      <c r="AB30">
        <v>6.5886332201397</v>
      </c>
      <c r="AC30">
        <v>5.3377049462127797</v>
      </c>
      <c r="AD30">
        <v>4507.1948669966896</v>
      </c>
      <c r="AE30">
        <v>5563.4873282772396</v>
      </c>
      <c r="AF30">
        <v>4507.1948669966896</v>
      </c>
      <c r="AG30">
        <v>5563.4873282772396</v>
      </c>
      <c r="AH30" s="6">
        <v>528.14623064027296</v>
      </c>
      <c r="AI30">
        <v>-61.521054378778899</v>
      </c>
      <c r="AJ30" t="s">
        <v>623</v>
      </c>
    </row>
    <row r="31" spans="1:36" x14ac:dyDescent="0.25">
      <c r="A31" t="s">
        <v>715</v>
      </c>
      <c r="B31" t="s">
        <v>973</v>
      </c>
      <c r="C31">
        <v>3018.0436009999999</v>
      </c>
      <c r="D31" t="s">
        <v>919</v>
      </c>
      <c r="E31">
        <v>-74.647318170000005</v>
      </c>
      <c r="F31">
        <v>165.38765485925899</v>
      </c>
      <c r="G31" s="2">
        <v>45411.475694444445</v>
      </c>
      <c r="H31" s="1">
        <v>45411</v>
      </c>
      <c r="I31" s="3">
        <v>0.47608796296296296</v>
      </c>
      <c r="J31" t="s">
        <v>714</v>
      </c>
      <c r="K31" s="2">
        <v>45411.475694444445</v>
      </c>
      <c r="L31">
        <v>2024</v>
      </c>
      <c r="M31">
        <v>4</v>
      </c>
      <c r="N31">
        <v>29</v>
      </c>
      <c r="O31">
        <v>120</v>
      </c>
      <c r="P31" s="1">
        <v>45411</v>
      </c>
      <c r="Q31" t="s">
        <v>974</v>
      </c>
      <c r="R31" s="2">
        <v>45411.475694444445</v>
      </c>
      <c r="S31">
        <v>6.7989268302917401</v>
      </c>
      <c r="T31">
        <v>252.845123291015</v>
      </c>
      <c r="U31">
        <v>248.41905212402301</v>
      </c>
      <c r="V31">
        <v>82.0572455199205</v>
      </c>
      <c r="W31">
        <v>67.486628876024696</v>
      </c>
      <c r="X31">
        <v>82.0572455199205</v>
      </c>
      <c r="Y31">
        <v>0</v>
      </c>
      <c r="Z31">
        <v>6.7694644041077696</v>
      </c>
      <c r="AA31" s="6">
        <v>20430.5387270147</v>
      </c>
      <c r="AB31">
        <v>7.4841794203318397</v>
      </c>
      <c r="AC31">
        <v>6.0458123015922496</v>
      </c>
      <c r="AD31">
        <v>18246.525129667501</v>
      </c>
      <c r="AE31">
        <v>22587.579808268401</v>
      </c>
      <c r="AF31">
        <v>18246.525129667501</v>
      </c>
      <c r="AG31">
        <v>22587.579808268401</v>
      </c>
      <c r="AH31" s="6">
        <v>2170.5273393004099</v>
      </c>
      <c r="AI31">
        <v>-72.1350201421035</v>
      </c>
      <c r="AJ31" t="s">
        <v>623</v>
      </c>
    </row>
    <row r="32" spans="1:36" x14ac:dyDescent="0.25">
      <c r="A32" t="s">
        <v>715</v>
      </c>
      <c r="B32" t="s">
        <v>975</v>
      </c>
      <c r="C32">
        <v>2430.0325899999998</v>
      </c>
      <c r="D32" t="s">
        <v>919</v>
      </c>
      <c r="E32">
        <v>-74.64768866</v>
      </c>
      <c r="F32">
        <v>165.39221779629599</v>
      </c>
      <c r="G32" s="2">
        <v>45421.85833333333</v>
      </c>
      <c r="H32" s="1">
        <v>45421</v>
      </c>
      <c r="I32" s="3">
        <v>0.85857638888888888</v>
      </c>
      <c r="J32" t="s">
        <v>714</v>
      </c>
      <c r="K32" s="2">
        <v>45421.85833333333</v>
      </c>
      <c r="L32">
        <v>2024</v>
      </c>
      <c r="M32">
        <v>5</v>
      </c>
      <c r="N32">
        <v>9</v>
      </c>
      <c r="O32">
        <v>130</v>
      </c>
      <c r="P32" s="1">
        <v>45421</v>
      </c>
      <c r="Q32" t="s">
        <v>976</v>
      </c>
      <c r="R32" s="2">
        <v>45421.85833333333</v>
      </c>
      <c r="S32">
        <v>3.3646023273468</v>
      </c>
      <c r="T32">
        <v>251.58390808105401</v>
      </c>
      <c r="U32">
        <v>247.99929809570301</v>
      </c>
      <c r="V32">
        <v>89.276496363607095</v>
      </c>
      <c r="W32">
        <v>72.544097484301204</v>
      </c>
      <c r="X32">
        <v>89.276496363607095</v>
      </c>
      <c r="Y32">
        <v>0</v>
      </c>
      <c r="Z32">
        <v>6.1805933834925604</v>
      </c>
      <c r="AA32" s="6">
        <v>15019.0433474253</v>
      </c>
      <c r="AB32">
        <v>6.88067825568021</v>
      </c>
      <c r="AC32">
        <v>5.4860552630605897</v>
      </c>
      <c r="AD32">
        <v>13331.293079778199</v>
      </c>
      <c r="AE32">
        <v>16720.272402607199</v>
      </c>
      <c r="AF32">
        <v>13331.293079778199</v>
      </c>
      <c r="AG32">
        <v>16720.272402607199</v>
      </c>
      <c r="AH32" s="6">
        <v>1694.4896614145</v>
      </c>
      <c r="AI32">
        <v>-64.429545560623794</v>
      </c>
      <c r="AJ32" t="s">
        <v>623</v>
      </c>
    </row>
    <row r="33" spans="1:36" x14ac:dyDescent="0.25">
      <c r="A33" t="s">
        <v>715</v>
      </c>
      <c r="B33" t="s">
        <v>977</v>
      </c>
      <c r="C33">
        <v>2688.87637</v>
      </c>
      <c r="D33" t="s">
        <v>919</v>
      </c>
      <c r="E33">
        <v>-74.647290350000006</v>
      </c>
      <c r="F33">
        <v>165.39319045555499</v>
      </c>
      <c r="G33" s="2">
        <v>45436.890972222223</v>
      </c>
      <c r="H33" s="1">
        <v>45436</v>
      </c>
      <c r="I33" s="3">
        <v>0.89098379629629632</v>
      </c>
      <c r="J33" t="s">
        <v>714</v>
      </c>
      <c r="K33" s="2">
        <v>45436.890972222223</v>
      </c>
      <c r="L33">
        <v>2024</v>
      </c>
      <c r="M33">
        <v>5</v>
      </c>
      <c r="N33">
        <v>24</v>
      </c>
      <c r="O33">
        <v>145</v>
      </c>
      <c r="P33" s="1">
        <v>45436</v>
      </c>
      <c r="Q33" t="s">
        <v>978</v>
      </c>
      <c r="R33" s="2">
        <v>45436.890972222223</v>
      </c>
      <c r="S33">
        <v>7.0775451660156197</v>
      </c>
      <c r="T33">
        <v>249.36943054199199</v>
      </c>
      <c r="U33">
        <v>244.58782958984301</v>
      </c>
      <c r="V33">
        <v>80.975799452977796</v>
      </c>
      <c r="W33">
        <v>64.425028889959904</v>
      </c>
      <c r="X33">
        <v>80.975799452977796</v>
      </c>
      <c r="Y33">
        <v>0</v>
      </c>
      <c r="Z33">
        <v>7.0755331107122803</v>
      </c>
      <c r="AA33" s="6">
        <v>19025.2337865468</v>
      </c>
      <c r="AB33">
        <v>7.8182140919377501</v>
      </c>
      <c r="AC33">
        <v>6.3145139680929701</v>
      </c>
      <c r="AD33">
        <v>16978.9473968401</v>
      </c>
      <c r="AE33">
        <v>21022.2111274124</v>
      </c>
      <c r="AF33">
        <v>16978.9473968401</v>
      </c>
      <c r="AG33">
        <v>21022.2111274124</v>
      </c>
      <c r="AH33" s="6">
        <v>2021.6318652861401</v>
      </c>
      <c r="AI33">
        <v>-76.162805576076096</v>
      </c>
      <c r="AJ33" t="s">
        <v>623</v>
      </c>
    </row>
    <row r="34" spans="1:36" x14ac:dyDescent="0.25">
      <c r="A34" t="s">
        <v>715</v>
      </c>
      <c r="B34" t="s">
        <v>979</v>
      </c>
      <c r="C34">
        <v>2360.087595</v>
      </c>
      <c r="D34" t="s">
        <v>919</v>
      </c>
      <c r="E34">
        <v>-74.646682859999999</v>
      </c>
      <c r="F34">
        <v>165.395295</v>
      </c>
      <c r="G34" s="2">
        <v>45449.583333333336</v>
      </c>
      <c r="H34" s="1">
        <v>45449</v>
      </c>
      <c r="I34" s="3">
        <v>0.58340277777777783</v>
      </c>
      <c r="J34" t="s">
        <v>714</v>
      </c>
      <c r="K34" s="2">
        <v>45449.583333333336</v>
      </c>
      <c r="L34">
        <v>2024</v>
      </c>
      <c r="M34">
        <v>6</v>
      </c>
      <c r="N34">
        <v>6</v>
      </c>
      <c r="O34">
        <v>158</v>
      </c>
      <c r="P34" s="1">
        <v>45449</v>
      </c>
      <c r="Q34" t="s">
        <v>980</v>
      </c>
      <c r="R34" s="2">
        <v>45449.583333333336</v>
      </c>
      <c r="S34">
        <v>7.56327056884765</v>
      </c>
      <c r="T34">
        <v>252.57307434082</v>
      </c>
      <c r="U34">
        <v>247.74623107910099</v>
      </c>
      <c r="V34">
        <v>79.242340077475603</v>
      </c>
      <c r="W34">
        <v>65.002165289999994</v>
      </c>
      <c r="X34">
        <v>79.242340077475603</v>
      </c>
      <c r="Y34">
        <v>0</v>
      </c>
      <c r="Z34">
        <v>6.9095967282709401</v>
      </c>
      <c r="AA34" s="6">
        <v>16307.2535248448</v>
      </c>
      <c r="AB34">
        <v>7.6248053212666198</v>
      </c>
      <c r="AC34">
        <v>6.1818013095220197</v>
      </c>
      <c r="AD34">
        <v>14589.592585357599</v>
      </c>
      <c r="AE34">
        <v>17995.208453011299</v>
      </c>
      <c r="AF34">
        <v>14589.592585357599</v>
      </c>
      <c r="AG34">
        <v>17995.208453011299</v>
      </c>
      <c r="AH34" s="6">
        <v>1702.8079338268301</v>
      </c>
      <c r="AI34">
        <v>-73.975359541892104</v>
      </c>
      <c r="AJ34" t="s">
        <v>623</v>
      </c>
    </row>
    <row r="35" spans="1:36" x14ac:dyDescent="0.25">
      <c r="A35" t="s">
        <v>715</v>
      </c>
      <c r="B35" t="s">
        <v>981</v>
      </c>
      <c r="C35">
        <v>1632.9044449999999</v>
      </c>
      <c r="D35" t="s">
        <v>932</v>
      </c>
      <c r="E35">
        <v>-74.646998909999994</v>
      </c>
      <c r="F35">
        <v>165.39369043684201</v>
      </c>
      <c r="G35" s="2">
        <v>45463.480555555558</v>
      </c>
      <c r="H35" s="1">
        <v>45463</v>
      </c>
      <c r="I35" s="3">
        <v>0.48074074074074075</v>
      </c>
      <c r="J35" t="s">
        <v>714</v>
      </c>
      <c r="K35" s="2">
        <v>45463.480555555558</v>
      </c>
      <c r="L35">
        <v>2024</v>
      </c>
      <c r="M35">
        <v>6</v>
      </c>
      <c r="N35">
        <v>20</v>
      </c>
      <c r="O35">
        <v>172</v>
      </c>
      <c r="P35" s="1">
        <v>45463</v>
      </c>
      <c r="Q35" t="s">
        <v>982</v>
      </c>
      <c r="R35" s="2">
        <v>45463.480555555558</v>
      </c>
      <c r="S35">
        <v>5.5712790489196697</v>
      </c>
      <c r="T35">
        <v>248.63606262207</v>
      </c>
      <c r="U35">
        <v>243.67338562011699</v>
      </c>
      <c r="V35">
        <v>79.908467950000002</v>
      </c>
      <c r="W35">
        <v>63.134337933120399</v>
      </c>
      <c r="X35">
        <v>79.908467950000002</v>
      </c>
      <c r="Y35">
        <v>0</v>
      </c>
      <c r="Z35">
        <v>6.7184319521049396</v>
      </c>
      <c r="AA35" s="6">
        <v>10970.5573980221</v>
      </c>
      <c r="AB35">
        <v>7.4406739278946104</v>
      </c>
      <c r="AC35">
        <v>5.9883971986240896</v>
      </c>
      <c r="AD35">
        <v>9778.4804040588206</v>
      </c>
      <c r="AE35">
        <v>12149.909530654701</v>
      </c>
      <c r="AF35">
        <v>9778.4804040588206</v>
      </c>
      <c r="AG35">
        <v>12149.909530654701</v>
      </c>
      <c r="AH35" s="6">
        <v>1185.71456329794</v>
      </c>
      <c r="AI35">
        <v>-71.466017256192998</v>
      </c>
      <c r="AJ35" t="s">
        <v>623</v>
      </c>
    </row>
    <row r="36" spans="1:36" x14ac:dyDescent="0.25">
      <c r="A36" t="s">
        <v>715</v>
      </c>
      <c r="B36" t="s">
        <v>983</v>
      </c>
      <c r="C36">
        <v>1683.957717</v>
      </c>
      <c r="D36" t="s">
        <v>932</v>
      </c>
      <c r="E36">
        <v>-74.646594930000006</v>
      </c>
      <c r="F36">
        <v>165.39365989999999</v>
      </c>
      <c r="G36" s="2">
        <v>45468.82916666667</v>
      </c>
      <c r="H36" s="1">
        <v>45468</v>
      </c>
      <c r="I36" s="3">
        <v>0.82950231481481485</v>
      </c>
      <c r="J36" t="s">
        <v>714</v>
      </c>
      <c r="K36" s="2">
        <v>45468.82916666667</v>
      </c>
      <c r="L36">
        <v>2024</v>
      </c>
      <c r="M36">
        <v>6</v>
      </c>
      <c r="N36">
        <v>25</v>
      </c>
      <c r="O36">
        <v>177</v>
      </c>
      <c r="P36" s="1">
        <v>45468</v>
      </c>
      <c r="Q36" t="s">
        <v>984</v>
      </c>
      <c r="R36" s="2">
        <v>45468.82916666667</v>
      </c>
      <c r="S36">
        <v>13.974693298339799</v>
      </c>
      <c r="T36">
        <v>251.09388732910099</v>
      </c>
      <c r="U36">
        <v>245.17866516113199</v>
      </c>
      <c r="V36">
        <v>72.194745712869903</v>
      </c>
      <c r="W36">
        <v>58.390093270000001</v>
      </c>
      <c r="X36">
        <v>72.194745712869903</v>
      </c>
      <c r="Y36">
        <v>0</v>
      </c>
      <c r="Z36">
        <v>8.4096556090824208</v>
      </c>
      <c r="AA36" s="6">
        <v>14161.504460226601</v>
      </c>
      <c r="AB36">
        <v>9.1447176536496606</v>
      </c>
      <c r="AC36">
        <v>7.6116435532398397</v>
      </c>
      <c r="AD36">
        <v>12817.6859005315</v>
      </c>
      <c r="AE36">
        <v>15399.317862649399</v>
      </c>
      <c r="AF36">
        <v>12817.6859005315</v>
      </c>
      <c r="AG36">
        <v>15399.317862649399</v>
      </c>
      <c r="AH36" s="6">
        <v>1290.81598105897</v>
      </c>
      <c r="AI36">
        <v>-94.468371152901099</v>
      </c>
      <c r="AJ36" t="s">
        <v>623</v>
      </c>
    </row>
    <row r="37" spans="1:36" x14ac:dyDescent="0.25">
      <c r="A37" t="s">
        <v>715</v>
      </c>
      <c r="B37" t="s">
        <v>985</v>
      </c>
      <c r="C37">
        <v>1636.343828</v>
      </c>
      <c r="D37" t="s">
        <v>932</v>
      </c>
      <c r="E37">
        <v>-74.646918560000003</v>
      </c>
      <c r="F37">
        <v>165.39369310000001</v>
      </c>
      <c r="G37" s="2">
        <v>45483.505555555559</v>
      </c>
      <c r="H37" s="1">
        <v>45483</v>
      </c>
      <c r="I37" s="3">
        <v>0.50582175925925921</v>
      </c>
      <c r="J37" t="s">
        <v>714</v>
      </c>
      <c r="K37" s="2">
        <v>45483.505555555559</v>
      </c>
      <c r="L37">
        <v>2024</v>
      </c>
      <c r="M37">
        <v>7</v>
      </c>
      <c r="N37">
        <v>10</v>
      </c>
      <c r="O37">
        <v>192</v>
      </c>
      <c r="P37" s="1">
        <v>45483</v>
      </c>
      <c r="Q37" t="s">
        <v>986</v>
      </c>
      <c r="R37" s="2">
        <v>45483.505555555559</v>
      </c>
      <c r="S37">
        <v>2.4724988937377899</v>
      </c>
      <c r="T37">
        <v>249.46516418457</v>
      </c>
      <c r="U37">
        <v>244.70542907714801</v>
      </c>
      <c r="V37">
        <v>81.100802370663999</v>
      </c>
      <c r="W37">
        <v>64.583258987877599</v>
      </c>
      <c r="X37">
        <v>81.100802370663999</v>
      </c>
      <c r="Y37">
        <v>0</v>
      </c>
      <c r="Z37">
        <v>5.89364581182957</v>
      </c>
      <c r="AA37" s="6">
        <v>9644.0309486053702</v>
      </c>
      <c r="AB37">
        <v>6.5498580985241501</v>
      </c>
      <c r="AC37">
        <v>5.24823615515621</v>
      </c>
      <c r="AD37">
        <v>8587.9188403763092</v>
      </c>
      <c r="AE37">
        <v>10717.819873795799</v>
      </c>
      <c r="AF37">
        <v>8587.9188403763092</v>
      </c>
      <c r="AG37">
        <v>10717.819873795799</v>
      </c>
      <c r="AH37" s="6">
        <v>1064.95051670975</v>
      </c>
      <c r="AI37">
        <v>-60.664054255718597</v>
      </c>
      <c r="AJ37" t="s">
        <v>623</v>
      </c>
    </row>
    <row r="38" spans="1:36" x14ac:dyDescent="0.25">
      <c r="A38" t="s">
        <v>715</v>
      </c>
      <c r="B38" t="s">
        <v>987</v>
      </c>
      <c r="C38">
        <v>1141.3714219999999</v>
      </c>
      <c r="D38" t="s">
        <v>932</v>
      </c>
      <c r="E38">
        <v>-74.646629489999995</v>
      </c>
      <c r="F38">
        <v>165.3944583</v>
      </c>
      <c r="G38" s="2">
        <v>45510.511805555558</v>
      </c>
      <c r="H38" s="1">
        <v>45510</v>
      </c>
      <c r="I38" s="3">
        <v>0.51219907407407406</v>
      </c>
      <c r="J38" t="s">
        <v>714</v>
      </c>
      <c r="K38" s="2">
        <v>45510.511805555558</v>
      </c>
      <c r="L38">
        <v>2024</v>
      </c>
      <c r="M38">
        <v>8</v>
      </c>
      <c r="N38">
        <v>6</v>
      </c>
      <c r="O38">
        <v>219</v>
      </c>
      <c r="P38" s="1">
        <v>45510</v>
      </c>
      <c r="Q38" t="s">
        <v>988</v>
      </c>
      <c r="R38" s="2">
        <v>45510.511805555558</v>
      </c>
      <c r="S38">
        <v>2.8944458961486799</v>
      </c>
      <c r="T38">
        <v>254.22955322265599</v>
      </c>
      <c r="U38">
        <v>250.42980957031199</v>
      </c>
      <c r="V38">
        <v>86.063721237577397</v>
      </c>
      <c r="W38">
        <v>71.726486230000006</v>
      </c>
      <c r="X38">
        <v>86.063721237577397</v>
      </c>
      <c r="Y38">
        <v>0</v>
      </c>
      <c r="Z38">
        <v>5.7727678217250498</v>
      </c>
      <c r="AA38" s="6">
        <v>6588.8722175581597</v>
      </c>
      <c r="AB38">
        <v>6.4129524562339597</v>
      </c>
      <c r="AC38">
        <v>5.14524911874169</v>
      </c>
      <c r="AD38">
        <v>5872.64030320245</v>
      </c>
      <c r="AE38">
        <v>7319.5606641901404</v>
      </c>
      <c r="AF38">
        <v>5872.64030320245</v>
      </c>
      <c r="AG38">
        <v>7319.5606641901404</v>
      </c>
      <c r="AH38" s="6">
        <v>723.46018049384702</v>
      </c>
      <c r="AI38">
        <v>-59.070439411735698</v>
      </c>
      <c r="AJ38" t="s">
        <v>623</v>
      </c>
    </row>
    <row r="39" spans="1:36" x14ac:dyDescent="0.25">
      <c r="A39" t="s">
        <v>715</v>
      </c>
      <c r="B39" t="s">
        <v>989</v>
      </c>
      <c r="C39">
        <v>1851.565439</v>
      </c>
      <c r="D39" t="s">
        <v>939</v>
      </c>
      <c r="E39">
        <v>-74.647856700000006</v>
      </c>
      <c r="F39">
        <v>165.39687258571399</v>
      </c>
      <c r="G39" s="2">
        <v>45513.899305555555</v>
      </c>
      <c r="H39" s="1">
        <v>45513</v>
      </c>
      <c r="I39" s="3">
        <v>0.89946759259259257</v>
      </c>
      <c r="J39" t="s">
        <v>714</v>
      </c>
      <c r="K39" s="2">
        <v>45513.899305555555</v>
      </c>
      <c r="L39">
        <v>2024</v>
      </c>
      <c r="M39">
        <v>8</v>
      </c>
      <c r="N39">
        <v>9</v>
      </c>
      <c r="O39">
        <v>222</v>
      </c>
      <c r="P39" s="1">
        <v>45513</v>
      </c>
      <c r="Q39" t="s">
        <v>990</v>
      </c>
      <c r="R39" s="2">
        <v>45513.899305555555</v>
      </c>
      <c r="S39">
        <v>7.0131402015686</v>
      </c>
      <c r="T39">
        <v>257.34255981445301</v>
      </c>
      <c r="U39">
        <v>252.73367309570301</v>
      </c>
      <c r="V39">
        <v>78.595480502064703</v>
      </c>
      <c r="W39">
        <v>67.490194414208801</v>
      </c>
      <c r="X39">
        <v>78.595480502064703</v>
      </c>
      <c r="Y39">
        <v>0</v>
      </c>
      <c r="Z39">
        <v>6.3871587682074802</v>
      </c>
      <c r="AA39" s="6">
        <v>11826.2424286187</v>
      </c>
      <c r="AB39">
        <v>7.0445101802540604</v>
      </c>
      <c r="AC39">
        <v>5.7303915925329001</v>
      </c>
      <c r="AD39">
        <v>10610.1950246701</v>
      </c>
      <c r="AE39">
        <v>13043.371584442</v>
      </c>
      <c r="AF39">
        <v>10610.1950246701</v>
      </c>
      <c r="AG39">
        <v>13043.371584442</v>
      </c>
      <c r="AH39" s="6">
        <v>1216.58827988599</v>
      </c>
      <c r="AI39">
        <v>-67.131714235329994</v>
      </c>
      <c r="AJ39" t="s">
        <v>623</v>
      </c>
    </row>
    <row r="40" spans="1:36" x14ac:dyDescent="0.25">
      <c r="A40" t="s">
        <v>722</v>
      </c>
      <c r="B40" t="s">
        <v>991</v>
      </c>
      <c r="C40">
        <v>1921.503091</v>
      </c>
      <c r="D40" t="s">
        <v>919</v>
      </c>
      <c r="E40">
        <v>-73.350042110000004</v>
      </c>
      <c r="F40">
        <v>169.63747181176399</v>
      </c>
      <c r="G40" s="2">
        <v>45405.571527777778</v>
      </c>
      <c r="H40" s="1">
        <v>45405</v>
      </c>
      <c r="I40" s="3">
        <v>0.57178240740740738</v>
      </c>
      <c r="J40" t="s">
        <v>714</v>
      </c>
      <c r="K40" s="2">
        <v>45405.571527777778</v>
      </c>
      <c r="L40">
        <v>2024</v>
      </c>
      <c r="M40">
        <v>4</v>
      </c>
      <c r="N40">
        <v>23</v>
      </c>
      <c r="O40">
        <v>114</v>
      </c>
      <c r="P40" s="1">
        <v>45405</v>
      </c>
      <c r="Q40" t="s">
        <v>993</v>
      </c>
      <c r="R40" s="2">
        <v>45405.571527777778</v>
      </c>
      <c r="S40">
        <v>6.4739737510681099</v>
      </c>
      <c r="T40">
        <v>250.92257690429599</v>
      </c>
      <c r="U40">
        <v>248.41105651855401</v>
      </c>
      <c r="V40">
        <v>98.877596866123696</v>
      </c>
      <c r="W40">
        <v>79.840220631417296</v>
      </c>
      <c r="X40">
        <v>98.877596866123696</v>
      </c>
      <c r="Y40">
        <v>0</v>
      </c>
      <c r="Z40">
        <v>7.2831653870876298</v>
      </c>
      <c r="AA40" s="6">
        <v>13994.624803553001</v>
      </c>
      <c r="AB40">
        <v>8.0839171802599097</v>
      </c>
      <c r="AC40">
        <v>6.4538724758606598</v>
      </c>
      <c r="AD40">
        <v>12401.135911285999</v>
      </c>
      <c r="AE40">
        <v>15533.2718492574</v>
      </c>
      <c r="AF40">
        <v>12401.135911285999</v>
      </c>
      <c r="AG40">
        <v>15533.2718492574</v>
      </c>
      <c r="AH40" s="6">
        <v>1566.0679689856699</v>
      </c>
      <c r="AI40">
        <v>-78.916914243609199</v>
      </c>
      <c r="AJ40" t="s">
        <v>240</v>
      </c>
    </row>
    <row r="41" spans="1:36" x14ac:dyDescent="0.25">
      <c r="A41" t="s">
        <v>722</v>
      </c>
      <c r="B41" t="s">
        <v>994</v>
      </c>
      <c r="C41">
        <v>3434.8418700000002</v>
      </c>
      <c r="D41" t="s">
        <v>919</v>
      </c>
      <c r="E41">
        <v>-73.349376169999999</v>
      </c>
      <c r="F41">
        <v>169.647003928571</v>
      </c>
      <c r="G41" s="2">
        <v>45411.859027777777</v>
      </c>
      <c r="H41" s="1">
        <v>45411</v>
      </c>
      <c r="I41" s="3">
        <v>0.85938657407407404</v>
      </c>
      <c r="J41" t="s">
        <v>714</v>
      </c>
      <c r="K41" s="2">
        <v>45411.859027777777</v>
      </c>
      <c r="L41">
        <v>2024</v>
      </c>
      <c r="M41">
        <v>4</v>
      </c>
      <c r="N41">
        <v>29</v>
      </c>
      <c r="O41">
        <v>120</v>
      </c>
      <c r="P41" s="1">
        <v>45411</v>
      </c>
      <c r="Q41" t="s">
        <v>996</v>
      </c>
      <c r="R41" s="2">
        <v>45411.859027777777</v>
      </c>
      <c r="S41">
        <v>6.2917780876159597</v>
      </c>
      <c r="T41">
        <v>248.77192687988199</v>
      </c>
      <c r="U41">
        <v>245.50540161132801</v>
      </c>
      <c r="V41">
        <v>93.654781605852406</v>
      </c>
      <c r="W41">
        <v>74.090602340000004</v>
      </c>
      <c r="X41">
        <v>93.654781605852406</v>
      </c>
      <c r="Y41">
        <v>0</v>
      </c>
      <c r="Z41">
        <v>7.2600418968545597</v>
      </c>
      <c r="AA41" s="6">
        <v>24937.095885270199</v>
      </c>
      <c r="AB41">
        <v>8.0525202404703098</v>
      </c>
      <c r="AC41">
        <v>6.4404168042713899</v>
      </c>
      <c r="AD41">
        <v>22121.813299562898</v>
      </c>
      <c r="AE41">
        <v>27659.133680989798</v>
      </c>
      <c r="AF41">
        <v>22121.813299562898</v>
      </c>
      <c r="AG41">
        <v>27659.133680989798</v>
      </c>
      <c r="AH41" s="6">
        <v>2768.66019071345</v>
      </c>
      <c r="AI41">
        <v>-78.609089692975601</v>
      </c>
      <c r="AJ41" t="s">
        <v>240</v>
      </c>
    </row>
    <row r="42" spans="1:36" x14ac:dyDescent="0.25">
      <c r="A42" t="s">
        <v>722</v>
      </c>
      <c r="B42" t="s">
        <v>997</v>
      </c>
      <c r="C42">
        <v>3342.0302790000001</v>
      </c>
      <c r="D42" t="s">
        <v>919</v>
      </c>
      <c r="E42">
        <v>-73.350269580000003</v>
      </c>
      <c r="F42">
        <v>169.64298715714199</v>
      </c>
      <c r="G42" s="2">
        <v>45414.783333333333</v>
      </c>
      <c r="H42" s="1">
        <v>45414</v>
      </c>
      <c r="I42" s="3">
        <v>0.78358796296296296</v>
      </c>
      <c r="J42" t="s">
        <v>714</v>
      </c>
      <c r="K42" s="2">
        <v>45414.783333333333</v>
      </c>
      <c r="L42">
        <v>2024</v>
      </c>
      <c r="M42">
        <v>5</v>
      </c>
      <c r="N42">
        <v>2</v>
      </c>
      <c r="O42">
        <v>123</v>
      </c>
      <c r="P42" s="1">
        <v>45414</v>
      </c>
      <c r="Q42" t="s">
        <v>999</v>
      </c>
      <c r="R42" s="2">
        <v>45414.783333333333</v>
      </c>
      <c r="S42">
        <v>7.4101614949999997</v>
      </c>
      <c r="T42">
        <v>254.47984313964801</v>
      </c>
      <c r="U42">
        <v>251.02580261230401</v>
      </c>
      <c r="V42">
        <v>88.597485147388895</v>
      </c>
      <c r="W42">
        <v>74.015565990466399</v>
      </c>
      <c r="X42">
        <v>88.597485147388895</v>
      </c>
      <c r="Y42">
        <v>0</v>
      </c>
      <c r="Z42">
        <v>6.9770950242368199</v>
      </c>
      <c r="AA42" s="6">
        <v>23317.662830459602</v>
      </c>
      <c r="AB42">
        <v>7.7178142133713799</v>
      </c>
      <c r="AC42">
        <v>6.2209572181565296</v>
      </c>
      <c r="AD42">
        <v>20790.627387442699</v>
      </c>
      <c r="AE42">
        <v>25793.1687887837</v>
      </c>
      <c r="AF42">
        <v>20790.627387442699</v>
      </c>
      <c r="AG42">
        <v>25793.1687887837</v>
      </c>
      <c r="AH42" s="6">
        <v>2501.2707006705</v>
      </c>
      <c r="AI42">
        <v>-74.863923564991794</v>
      </c>
      <c r="AJ42" t="s">
        <v>240</v>
      </c>
    </row>
    <row r="43" spans="1:36" x14ac:dyDescent="0.25">
      <c r="A43" t="s">
        <v>722</v>
      </c>
      <c r="B43" t="s">
        <v>1000</v>
      </c>
      <c r="C43">
        <v>3849.379653</v>
      </c>
      <c r="D43" t="s">
        <v>919</v>
      </c>
      <c r="E43">
        <v>-73.349310669999994</v>
      </c>
      <c r="F43">
        <v>169.63550406666599</v>
      </c>
      <c r="G43" s="2">
        <v>45436.9</v>
      </c>
      <c r="H43" s="1">
        <v>45436</v>
      </c>
      <c r="I43" s="3">
        <v>0.90008101851851852</v>
      </c>
      <c r="J43" t="s">
        <v>714</v>
      </c>
      <c r="K43" s="2">
        <v>45436.9</v>
      </c>
      <c r="L43">
        <v>2024</v>
      </c>
      <c r="M43">
        <v>5</v>
      </c>
      <c r="N43">
        <v>24</v>
      </c>
      <c r="O43">
        <v>145</v>
      </c>
      <c r="P43" s="1">
        <v>45436</v>
      </c>
      <c r="Q43" t="s">
        <v>1002</v>
      </c>
      <c r="R43" s="2">
        <v>45436.9</v>
      </c>
      <c r="S43">
        <v>7.9313535690307599</v>
      </c>
      <c r="T43">
        <v>248.92359924316401</v>
      </c>
      <c r="U43">
        <v>245.33245849609301</v>
      </c>
      <c r="V43">
        <v>90.770671620000002</v>
      </c>
      <c r="W43">
        <v>71.912511100000003</v>
      </c>
      <c r="X43">
        <v>90.770671620000002</v>
      </c>
      <c r="Y43">
        <v>0</v>
      </c>
      <c r="Z43">
        <v>7.5828374734294801</v>
      </c>
      <c r="AA43" s="6">
        <v>29189.220282225298</v>
      </c>
      <c r="AB43">
        <v>8.3753015076762303</v>
      </c>
      <c r="AC43">
        <v>6.75170988349781</v>
      </c>
      <c r="AD43">
        <v>25989.894648495501</v>
      </c>
      <c r="AE43">
        <v>32239.715211389099</v>
      </c>
      <c r="AF43">
        <v>25989.894648495501</v>
      </c>
      <c r="AG43">
        <v>32239.715211389099</v>
      </c>
      <c r="AH43" s="6">
        <v>3124.9102814468001</v>
      </c>
      <c r="AI43">
        <v>-82.937119608401105</v>
      </c>
      <c r="AJ43" t="s">
        <v>240</v>
      </c>
    </row>
    <row r="44" spans="1:36" x14ac:dyDescent="0.25">
      <c r="A44" t="s">
        <v>722</v>
      </c>
      <c r="B44" t="s">
        <v>1003</v>
      </c>
      <c r="C44">
        <v>3557.053739</v>
      </c>
      <c r="D44" t="s">
        <v>919</v>
      </c>
      <c r="E44">
        <v>-73.348907789999998</v>
      </c>
      <c r="F44">
        <v>169.63636825833299</v>
      </c>
      <c r="G44" s="2">
        <v>45444.880555555559</v>
      </c>
      <c r="H44" s="1">
        <v>45444</v>
      </c>
      <c r="I44" s="3">
        <v>0.88120370370370371</v>
      </c>
      <c r="J44" t="s">
        <v>714</v>
      </c>
      <c r="K44" s="2">
        <v>45444.880555555559</v>
      </c>
      <c r="L44">
        <v>2024</v>
      </c>
      <c r="M44">
        <v>6</v>
      </c>
      <c r="N44">
        <v>1</v>
      </c>
      <c r="O44">
        <v>153</v>
      </c>
      <c r="P44" s="1">
        <v>45444</v>
      </c>
      <c r="Q44" t="s">
        <v>1005</v>
      </c>
      <c r="R44" s="2">
        <v>45444.880555555559</v>
      </c>
      <c r="S44">
        <v>7.5206556320190403</v>
      </c>
      <c r="T44">
        <v>256.51135253906199</v>
      </c>
      <c r="U44">
        <v>253.273666381835</v>
      </c>
      <c r="V44">
        <v>89.026355265641996</v>
      </c>
      <c r="W44">
        <v>75.838697138504799</v>
      </c>
      <c r="X44">
        <v>89.026355265641996</v>
      </c>
      <c r="Y44">
        <v>0</v>
      </c>
      <c r="Z44">
        <v>6.8623867362365099</v>
      </c>
      <c r="AA44" s="6">
        <v>24409.878398593999</v>
      </c>
      <c r="AB44">
        <v>7.5896948883425299</v>
      </c>
      <c r="AC44">
        <v>6.12333427087483</v>
      </c>
      <c r="AD44">
        <v>21781.029063362101</v>
      </c>
      <c r="AE44">
        <v>26996.952580447902</v>
      </c>
      <c r="AF44">
        <v>21781.029063362101</v>
      </c>
      <c r="AG44">
        <v>26996.952580447902</v>
      </c>
      <c r="AH44" s="6">
        <v>2607.9617585429</v>
      </c>
      <c r="AI44">
        <v>-73.354749020723602</v>
      </c>
      <c r="AJ44" t="s">
        <v>240</v>
      </c>
    </row>
    <row r="45" spans="1:36" x14ac:dyDescent="0.25">
      <c r="A45" t="s">
        <v>722</v>
      </c>
      <c r="B45" t="s">
        <v>1006</v>
      </c>
      <c r="C45">
        <v>3565.1571410000001</v>
      </c>
      <c r="D45" t="s">
        <v>919</v>
      </c>
      <c r="E45">
        <v>-73.348990200000003</v>
      </c>
      <c r="F45">
        <v>169.63881739999999</v>
      </c>
      <c r="G45" s="2">
        <v>45450.527083333334</v>
      </c>
      <c r="H45" s="1">
        <v>45450</v>
      </c>
      <c r="I45" s="3">
        <v>0.52736111111111106</v>
      </c>
      <c r="J45" t="s">
        <v>714</v>
      </c>
      <c r="K45" s="2">
        <v>45450.527083333334</v>
      </c>
      <c r="L45">
        <v>2024</v>
      </c>
      <c r="M45">
        <v>6</v>
      </c>
      <c r="N45">
        <v>7</v>
      </c>
      <c r="O45">
        <v>159</v>
      </c>
      <c r="P45" s="1">
        <v>45450</v>
      </c>
      <c r="Q45" t="s">
        <v>1007</v>
      </c>
      <c r="R45" s="2">
        <v>45450.527083333334</v>
      </c>
      <c r="S45">
        <v>5.3328175544738698</v>
      </c>
      <c r="T45">
        <v>252.66276550292901</v>
      </c>
      <c r="U45">
        <v>247.22756958007801</v>
      </c>
      <c r="V45">
        <v>74.916501581137098</v>
      </c>
      <c r="W45">
        <v>61.506441949910098</v>
      </c>
      <c r="X45">
        <v>74.916501581137098</v>
      </c>
      <c r="Y45">
        <v>0</v>
      </c>
      <c r="Z45">
        <v>6.2145284848028197</v>
      </c>
      <c r="AA45" s="6">
        <v>22155.770605542599</v>
      </c>
      <c r="AB45">
        <v>6.8656813376928003</v>
      </c>
      <c r="AC45">
        <v>5.5674846346450799</v>
      </c>
      <c r="AD45">
        <v>19848.957602612601</v>
      </c>
      <c r="AE45">
        <v>24477.2328489059</v>
      </c>
      <c r="AF45">
        <v>19848.957602612601</v>
      </c>
      <c r="AG45">
        <v>24477.2328489059</v>
      </c>
      <c r="AH45" s="6">
        <v>2314.1376231466202</v>
      </c>
      <c r="AI45">
        <v>-64.873752393797403</v>
      </c>
      <c r="AJ45" t="s">
        <v>240</v>
      </c>
    </row>
    <row r="46" spans="1:36" x14ac:dyDescent="0.25">
      <c r="A46" t="s">
        <v>722</v>
      </c>
      <c r="B46" t="s">
        <v>1008</v>
      </c>
      <c r="C46">
        <v>3448.5810200000001</v>
      </c>
      <c r="D46" t="s">
        <v>919</v>
      </c>
      <c r="E46">
        <v>-73.347016319999994</v>
      </c>
      <c r="F46">
        <v>169.636822011764</v>
      </c>
      <c r="G46" s="2">
        <v>45462.865972222222</v>
      </c>
      <c r="H46" s="1">
        <v>45462</v>
      </c>
      <c r="I46" s="3">
        <v>0.86649305555555556</v>
      </c>
      <c r="J46" t="s">
        <v>714</v>
      </c>
      <c r="K46" s="2">
        <v>45462.865972222222</v>
      </c>
      <c r="L46">
        <v>2024</v>
      </c>
      <c r="M46">
        <v>6</v>
      </c>
      <c r="N46">
        <v>19</v>
      </c>
      <c r="O46">
        <v>171</v>
      </c>
      <c r="P46" s="1">
        <v>45462</v>
      </c>
      <c r="Q46" t="s">
        <v>1010</v>
      </c>
      <c r="R46" s="2">
        <v>45462.865972222222</v>
      </c>
      <c r="S46">
        <v>3.9019424915313698</v>
      </c>
      <c r="T46">
        <v>246.88893127441401</v>
      </c>
      <c r="U46">
        <v>243.97407531738199</v>
      </c>
      <c r="V46">
        <v>98.039698099634194</v>
      </c>
      <c r="W46">
        <v>76.187650994133307</v>
      </c>
      <c r="X46">
        <v>98.039698099634194</v>
      </c>
      <c r="Y46">
        <v>0</v>
      </c>
      <c r="Z46">
        <v>6.9134874601988097</v>
      </c>
      <c r="AA46" s="6">
        <v>23841.7216372496</v>
      </c>
      <c r="AB46">
        <v>7.7121936816369203</v>
      </c>
      <c r="AC46">
        <v>6.0989239014589103</v>
      </c>
      <c r="AD46">
        <v>21032.633208995499</v>
      </c>
      <c r="AE46">
        <v>26596.124753057</v>
      </c>
      <c r="AF46">
        <v>21032.633208995499</v>
      </c>
      <c r="AG46">
        <v>26596.124753057</v>
      </c>
      <c r="AH46" s="6">
        <v>2781.7457720307202</v>
      </c>
      <c r="AI46">
        <v>-74.026536785973505</v>
      </c>
      <c r="AJ46" t="s">
        <v>240</v>
      </c>
    </row>
    <row r="47" spans="1:36" x14ac:dyDescent="0.25">
      <c r="A47" t="s">
        <v>722</v>
      </c>
      <c r="B47" t="s">
        <v>1011</v>
      </c>
      <c r="C47">
        <v>2550.6261</v>
      </c>
      <c r="D47" t="s">
        <v>932</v>
      </c>
      <c r="E47">
        <v>-73.346788489999994</v>
      </c>
      <c r="F47">
        <v>169.63595609999999</v>
      </c>
      <c r="H47" s="1">
        <v>45468</v>
      </c>
      <c r="I47" s="3">
        <v>0.55501157407407409</v>
      </c>
      <c r="K47" s="2">
        <v>45468.554861111108</v>
      </c>
      <c r="L47">
        <v>2024</v>
      </c>
      <c r="M47">
        <v>6</v>
      </c>
      <c r="N47">
        <v>25</v>
      </c>
      <c r="O47">
        <v>177</v>
      </c>
      <c r="P47" s="1">
        <v>45468</v>
      </c>
      <c r="Q47" t="s">
        <v>1013</v>
      </c>
      <c r="R47" s="2">
        <v>45468.554861111108</v>
      </c>
      <c r="S47">
        <v>10.1977987289428</v>
      </c>
      <c r="T47">
        <v>249.44134521484301</v>
      </c>
      <c r="U47">
        <v>244.89447021484301</v>
      </c>
      <c r="V47">
        <v>82.748282718106694</v>
      </c>
      <c r="W47">
        <v>65.880275045161696</v>
      </c>
      <c r="X47">
        <v>82.748282718106694</v>
      </c>
      <c r="Y47">
        <v>0</v>
      </c>
      <c r="Z47">
        <v>7.89378677055468</v>
      </c>
      <c r="AA47" s="6">
        <v>20134.0985648114</v>
      </c>
      <c r="AB47">
        <v>8.6653587364104805</v>
      </c>
      <c r="AC47">
        <v>7.0742174881517403</v>
      </c>
      <c r="AD47">
        <v>18043.683762356199</v>
      </c>
      <c r="AE47">
        <v>22102.0901589516</v>
      </c>
      <c r="AF47">
        <v>18043.683762356199</v>
      </c>
      <c r="AG47">
        <v>22102.0901589516</v>
      </c>
      <c r="AH47" s="6">
        <v>2029.20319829766</v>
      </c>
      <c r="AI47">
        <v>-87.184441976506093</v>
      </c>
      <c r="AJ47" t="s">
        <v>240</v>
      </c>
    </row>
    <row r="48" spans="1:36" x14ac:dyDescent="0.25">
      <c r="A48" t="s">
        <v>722</v>
      </c>
      <c r="B48" t="s">
        <v>1014</v>
      </c>
      <c r="C48">
        <v>2487.9696090000002</v>
      </c>
      <c r="D48" t="s">
        <v>932</v>
      </c>
      <c r="E48">
        <v>-73.346788489999994</v>
      </c>
      <c r="F48">
        <v>169.63595609999999</v>
      </c>
      <c r="G48" s="2">
        <v>45483.886805555558</v>
      </c>
      <c r="H48" s="1">
        <v>45483</v>
      </c>
      <c r="I48" s="3">
        <v>0.88734953703703701</v>
      </c>
      <c r="J48" t="s">
        <v>714</v>
      </c>
      <c r="K48" s="2">
        <v>45483.886805555558</v>
      </c>
      <c r="L48">
        <v>2024</v>
      </c>
      <c r="M48">
        <v>7</v>
      </c>
      <c r="N48">
        <v>10</v>
      </c>
      <c r="O48">
        <v>192</v>
      </c>
      <c r="P48" s="1">
        <v>45483</v>
      </c>
      <c r="Q48" t="s">
        <v>1015</v>
      </c>
      <c r="R48" s="2">
        <v>45483.886805555558</v>
      </c>
      <c r="S48">
        <v>4.4764871597290004</v>
      </c>
      <c r="T48">
        <v>248.59664916992099</v>
      </c>
      <c r="U48">
        <v>246.0776367</v>
      </c>
      <c r="V48">
        <v>100.518762109202</v>
      </c>
      <c r="W48">
        <v>79.388470780000006</v>
      </c>
      <c r="X48">
        <v>100.518762109202</v>
      </c>
      <c r="Y48">
        <v>0</v>
      </c>
      <c r="Z48">
        <v>6.9967468778757098</v>
      </c>
      <c r="AA48" s="6">
        <v>17407.693594020398</v>
      </c>
      <c r="AB48">
        <v>7.8003432158033696</v>
      </c>
      <c r="AC48">
        <v>6.1743099301400601</v>
      </c>
      <c r="AD48">
        <v>15361.4954627353</v>
      </c>
      <c r="AE48">
        <v>19407.016860688102</v>
      </c>
      <c r="AF48">
        <v>15361.4954627353</v>
      </c>
      <c r="AG48">
        <v>19407.016860688102</v>
      </c>
      <c r="AH48" s="6">
        <v>2022.7606989763599</v>
      </c>
      <c r="AI48">
        <v>-75.122926908379398</v>
      </c>
      <c r="AJ48" t="s">
        <v>240</v>
      </c>
    </row>
    <row r="49" spans="1:36" x14ac:dyDescent="0.25">
      <c r="A49" t="s">
        <v>722</v>
      </c>
      <c r="B49" t="s">
        <v>1016</v>
      </c>
      <c r="C49">
        <v>2183.1498350000002</v>
      </c>
      <c r="D49" t="s">
        <v>932</v>
      </c>
      <c r="E49">
        <v>-73.348172140000003</v>
      </c>
      <c r="F49">
        <v>169.63271979999999</v>
      </c>
      <c r="G49" s="2">
        <v>45489.560416666667</v>
      </c>
      <c r="H49" s="1">
        <v>45489</v>
      </c>
      <c r="I49" s="3">
        <v>0.56041666666666667</v>
      </c>
      <c r="J49" t="s">
        <v>714</v>
      </c>
      <c r="K49" s="2">
        <v>45489.560416666667</v>
      </c>
      <c r="L49">
        <v>2024</v>
      </c>
      <c r="M49">
        <v>7</v>
      </c>
      <c r="N49">
        <v>16</v>
      </c>
      <c r="O49">
        <v>198</v>
      </c>
      <c r="P49" s="1">
        <v>45489</v>
      </c>
      <c r="Q49" t="s">
        <v>1017</v>
      </c>
      <c r="R49" s="2">
        <v>45489.560416666667</v>
      </c>
      <c r="S49">
        <v>3.6207540035247798</v>
      </c>
      <c r="T49">
        <v>246.73539733886699</v>
      </c>
      <c r="U49">
        <v>244.38214111328099</v>
      </c>
      <c r="V49">
        <v>103.491995966803</v>
      </c>
      <c r="W49">
        <v>80.308029153500499</v>
      </c>
      <c r="X49">
        <v>103.491995966803</v>
      </c>
      <c r="Y49">
        <v>0</v>
      </c>
      <c r="Z49">
        <v>6.9999632663219398</v>
      </c>
      <c r="AA49" s="6">
        <v>15281.968649876801</v>
      </c>
      <c r="AB49">
        <v>7.8207091628685399</v>
      </c>
      <c r="AC49">
        <v>6.1594409887553203</v>
      </c>
      <c r="AD49">
        <v>13446.9825782934</v>
      </c>
      <c r="AE49">
        <v>17073.7799184994</v>
      </c>
      <c r="AF49">
        <v>13446.9825782934</v>
      </c>
      <c r="AG49">
        <v>17073.7799184994</v>
      </c>
      <c r="AH49" s="6">
        <v>1813.3986701030101</v>
      </c>
      <c r="AI49">
        <v>-75.165331271321605</v>
      </c>
      <c r="AJ49" t="s">
        <v>240</v>
      </c>
    </row>
    <row r="50" spans="1:36" x14ac:dyDescent="0.25">
      <c r="A50" t="s">
        <v>722</v>
      </c>
      <c r="B50" t="s">
        <v>1018</v>
      </c>
      <c r="C50">
        <v>2323.5344399999999</v>
      </c>
      <c r="D50" t="s">
        <v>932</v>
      </c>
      <c r="E50">
        <v>-73.345227539999996</v>
      </c>
      <c r="F50">
        <v>169.64071567142801</v>
      </c>
      <c r="G50" s="2">
        <v>45510.506944444445</v>
      </c>
      <c r="H50" s="1">
        <v>45510</v>
      </c>
      <c r="I50" s="3">
        <v>0.50756944444444441</v>
      </c>
      <c r="J50" t="s">
        <v>714</v>
      </c>
      <c r="K50" s="2">
        <v>45510.506944444445</v>
      </c>
      <c r="L50">
        <v>2024</v>
      </c>
      <c r="M50">
        <v>8</v>
      </c>
      <c r="N50">
        <v>6</v>
      </c>
      <c r="O50">
        <v>219</v>
      </c>
      <c r="P50" s="1">
        <v>45510</v>
      </c>
      <c r="Q50" t="s">
        <v>1020</v>
      </c>
      <c r="R50" s="2">
        <v>45510.506944444445</v>
      </c>
      <c r="S50">
        <v>3.2796368598937899</v>
      </c>
      <c r="T50">
        <v>256.78619384765602</v>
      </c>
      <c r="U50">
        <v>252.02355957031199</v>
      </c>
      <c r="V50">
        <v>77.803520739945796</v>
      </c>
      <c r="W50">
        <v>66.453655034141505</v>
      </c>
      <c r="X50">
        <v>77.803520739945796</v>
      </c>
      <c r="Y50">
        <v>0</v>
      </c>
      <c r="Z50">
        <v>5.4576411197665697</v>
      </c>
      <c r="AA50" s="6">
        <v>12681.0171029377</v>
      </c>
      <c r="AB50">
        <v>6.02632239195888</v>
      </c>
      <c r="AC50">
        <v>4.9039441120762497</v>
      </c>
      <c r="AD50">
        <v>11394.483036244301</v>
      </c>
      <c r="AE50">
        <v>14002.367624259599</v>
      </c>
      <c r="AF50">
        <v>11394.483036244301</v>
      </c>
      <c r="AG50">
        <v>14002.367624259599</v>
      </c>
      <c r="AH50" s="6">
        <v>1303.9422940076299</v>
      </c>
      <c r="AI50">
        <v>-54.8842476619335</v>
      </c>
      <c r="AJ50" t="s">
        <v>240</v>
      </c>
    </row>
    <row r="51" spans="1:36" x14ac:dyDescent="0.25">
      <c r="A51" t="s">
        <v>722</v>
      </c>
      <c r="B51" t="s">
        <v>1021</v>
      </c>
      <c r="C51">
        <v>1927.1864619999999</v>
      </c>
      <c r="D51" t="s">
        <v>939</v>
      </c>
      <c r="E51">
        <v>-73.345084529999994</v>
      </c>
      <c r="F51">
        <v>169.63273729999901</v>
      </c>
      <c r="G51" s="2">
        <v>45512.811805555553</v>
      </c>
      <c r="H51" s="1">
        <v>45512</v>
      </c>
      <c r="I51" s="3">
        <v>0.81215277777777772</v>
      </c>
      <c r="J51" t="s">
        <v>714</v>
      </c>
      <c r="K51" s="2">
        <v>45512.811805555553</v>
      </c>
      <c r="L51">
        <v>2024</v>
      </c>
      <c r="M51">
        <v>8</v>
      </c>
      <c r="N51">
        <v>8</v>
      </c>
      <c r="O51">
        <v>221</v>
      </c>
      <c r="P51" s="1">
        <v>45512</v>
      </c>
      <c r="Q51" t="s">
        <v>1023</v>
      </c>
      <c r="R51" s="2">
        <v>45512.811805555553</v>
      </c>
      <c r="S51">
        <v>7.0623183250427202</v>
      </c>
      <c r="T51">
        <v>255.64479064941401</v>
      </c>
      <c r="U51">
        <v>249.03712463378901</v>
      </c>
      <c r="V51">
        <v>66.414111430000005</v>
      </c>
      <c r="W51">
        <v>56.107008939780101</v>
      </c>
      <c r="X51">
        <v>66.414111430000005</v>
      </c>
      <c r="Y51">
        <v>0</v>
      </c>
      <c r="Z51">
        <v>6.2001749032856797</v>
      </c>
      <c r="AA51" s="6">
        <v>11948.893135644301</v>
      </c>
      <c r="AB51">
        <v>6.8093337426159799</v>
      </c>
      <c r="AC51">
        <v>5.5948701313298299</v>
      </c>
      <c r="AD51">
        <v>10782.357973747001</v>
      </c>
      <c r="AE51">
        <v>13122.855804009299</v>
      </c>
      <c r="AF51">
        <v>10782.357973747001</v>
      </c>
      <c r="AG51">
        <v>13122.855804009299</v>
      </c>
      <c r="AH51" s="6">
        <v>1170.2489151311399</v>
      </c>
      <c r="AI51">
        <v>-64.685884936557201</v>
      </c>
      <c r="AJ51" t="s">
        <v>240</v>
      </c>
    </row>
    <row r="52" spans="1:36" x14ac:dyDescent="0.25">
      <c r="A52" t="s">
        <v>720</v>
      </c>
      <c r="B52" t="s">
        <v>1024</v>
      </c>
      <c r="C52">
        <v>0</v>
      </c>
      <c r="E52">
        <v>-76.177109340000001</v>
      </c>
      <c r="F52">
        <v>168.3951361</v>
      </c>
      <c r="G52" s="2">
        <v>45380.802083333336</v>
      </c>
      <c r="H52" s="1">
        <v>45380</v>
      </c>
      <c r="I52" s="3">
        <v>0.8021180555555556</v>
      </c>
      <c r="J52" t="s">
        <v>912</v>
      </c>
      <c r="K52" s="2">
        <v>45380.802083333336</v>
      </c>
      <c r="L52">
        <v>2024</v>
      </c>
      <c r="M52">
        <v>3</v>
      </c>
      <c r="N52">
        <v>29</v>
      </c>
      <c r="O52">
        <v>89</v>
      </c>
      <c r="P52" s="1">
        <v>45380</v>
      </c>
      <c r="Q52" t="s">
        <v>1025</v>
      </c>
      <c r="R52" s="2">
        <v>45380.802083333336</v>
      </c>
      <c r="S52">
        <v>1.52044093608856</v>
      </c>
      <c r="T52">
        <v>256.79089355468699</v>
      </c>
      <c r="U52">
        <v>254.99221801757801</v>
      </c>
      <c r="V52">
        <v>100.540708461668</v>
      </c>
      <c r="W52">
        <v>85.877854490000004</v>
      </c>
      <c r="X52">
        <v>100.540708461668</v>
      </c>
      <c r="AJ52" t="s">
        <v>451</v>
      </c>
    </row>
    <row r="53" spans="1:36" x14ac:dyDescent="0.25">
      <c r="A53" t="s">
        <v>720</v>
      </c>
      <c r="B53" t="s">
        <v>1026</v>
      </c>
      <c r="C53">
        <v>0</v>
      </c>
      <c r="E53">
        <v>-76.177109340000001</v>
      </c>
      <c r="F53">
        <v>168.3951361</v>
      </c>
      <c r="G53" s="2">
        <v>45381.422222222223</v>
      </c>
      <c r="H53" s="1">
        <v>45381</v>
      </c>
      <c r="I53" s="3">
        <v>0.42226851851851854</v>
      </c>
      <c r="J53" t="s">
        <v>912</v>
      </c>
      <c r="K53" s="2">
        <v>45381.422222222223</v>
      </c>
      <c r="L53">
        <v>2024</v>
      </c>
      <c r="M53">
        <v>3</v>
      </c>
      <c r="N53">
        <v>30</v>
      </c>
      <c r="O53">
        <v>90</v>
      </c>
      <c r="P53" s="1">
        <v>45381</v>
      </c>
      <c r="Q53" t="s">
        <v>1027</v>
      </c>
      <c r="R53" s="2">
        <v>45381.422222222223</v>
      </c>
      <c r="S53">
        <v>1.52044093608856</v>
      </c>
      <c r="T53">
        <v>256.79089355468699</v>
      </c>
      <c r="U53">
        <v>254.99221801757801</v>
      </c>
      <c r="V53">
        <v>100.540708461668</v>
      </c>
      <c r="W53">
        <v>85.877854490000004</v>
      </c>
      <c r="X53">
        <v>100.540708461668</v>
      </c>
      <c r="AJ53" t="s">
        <v>451</v>
      </c>
    </row>
    <row r="54" spans="1:36" x14ac:dyDescent="0.25">
      <c r="A54" t="s">
        <v>720</v>
      </c>
      <c r="B54" t="s">
        <v>1028</v>
      </c>
      <c r="C54">
        <v>0</v>
      </c>
      <c r="E54">
        <v>-76.177109340000001</v>
      </c>
      <c r="F54">
        <v>168.3951361</v>
      </c>
      <c r="G54" s="2">
        <v>45388.876388888886</v>
      </c>
      <c r="H54" s="1">
        <v>45388</v>
      </c>
      <c r="I54" s="3">
        <v>0.87642361111111111</v>
      </c>
      <c r="J54" t="s">
        <v>912</v>
      </c>
      <c r="K54" s="2">
        <v>45388.876388888886</v>
      </c>
      <c r="L54">
        <v>2024</v>
      </c>
      <c r="M54">
        <v>4</v>
      </c>
      <c r="N54">
        <v>6</v>
      </c>
      <c r="O54">
        <v>97</v>
      </c>
      <c r="P54" s="1">
        <v>45388</v>
      </c>
      <c r="Q54" t="s">
        <v>1029</v>
      </c>
      <c r="R54" s="2">
        <v>45388.876388888886</v>
      </c>
      <c r="S54">
        <v>1.72979283332824</v>
      </c>
      <c r="T54">
        <v>253.81573486328099</v>
      </c>
      <c r="U54">
        <v>251.61488342285099</v>
      </c>
      <c r="V54">
        <v>99.44258087</v>
      </c>
      <c r="W54">
        <v>82.548535720433094</v>
      </c>
      <c r="X54">
        <v>99.44258087</v>
      </c>
      <c r="Y54">
        <v>2.8622222222222198</v>
      </c>
      <c r="Z54">
        <v>5.8597386163987801</v>
      </c>
      <c r="AA54" s="6">
        <v>0</v>
      </c>
      <c r="AB54">
        <v>6.5538990905725001</v>
      </c>
      <c r="AC54">
        <v>5.1784369718830101</v>
      </c>
      <c r="AD54">
        <v>0</v>
      </c>
      <c r="AE54">
        <v>0</v>
      </c>
      <c r="AF54">
        <v>0</v>
      </c>
      <c r="AG54">
        <v>0</v>
      </c>
      <c r="AH54" s="6">
        <v>0</v>
      </c>
      <c r="AI54">
        <v>-60.217578711041597</v>
      </c>
      <c r="AJ54" t="s">
        <v>451</v>
      </c>
    </row>
    <row r="55" spans="1:36" x14ac:dyDescent="0.25">
      <c r="A55" t="s">
        <v>720</v>
      </c>
      <c r="B55" t="s">
        <v>1030</v>
      </c>
      <c r="C55">
        <v>116.82386320000001</v>
      </c>
      <c r="D55" t="s">
        <v>919</v>
      </c>
      <c r="E55">
        <v>-76.177109340000001</v>
      </c>
      <c r="F55">
        <v>168.3951361</v>
      </c>
      <c r="G55" s="2">
        <v>45405.636805555558</v>
      </c>
      <c r="H55" s="1">
        <v>45405</v>
      </c>
      <c r="I55" s="3">
        <v>0.63714120370370375</v>
      </c>
      <c r="J55" t="s">
        <v>714</v>
      </c>
      <c r="K55" s="2">
        <v>45405.636805555558</v>
      </c>
      <c r="L55">
        <v>2024</v>
      </c>
      <c r="M55">
        <v>4</v>
      </c>
      <c r="N55">
        <v>23</v>
      </c>
      <c r="O55">
        <v>114</v>
      </c>
      <c r="P55" s="1">
        <v>45405</v>
      </c>
      <c r="Q55" t="s">
        <v>1031</v>
      </c>
      <c r="R55" s="2">
        <v>45405.636805555558</v>
      </c>
      <c r="S55">
        <v>3.0900347232818599</v>
      </c>
      <c r="T55">
        <v>250.47958374023401</v>
      </c>
      <c r="U55">
        <v>247.782135009765</v>
      </c>
      <c r="V55">
        <v>97.535935589999994</v>
      </c>
      <c r="W55">
        <v>78.424930638114901</v>
      </c>
      <c r="X55">
        <v>97.535935589999994</v>
      </c>
      <c r="Y55">
        <v>0</v>
      </c>
      <c r="Z55">
        <v>6.4179440254310602</v>
      </c>
      <c r="AA55" s="6">
        <v>749.76901485221595</v>
      </c>
      <c r="AB55">
        <v>7.1687322823472304</v>
      </c>
      <c r="AC55">
        <v>5.6670751902297498</v>
      </c>
      <c r="AD55">
        <v>662.04961676751498</v>
      </c>
      <c r="AE55">
        <v>837.47899947035705</v>
      </c>
      <c r="AF55">
        <v>662.04961676751498</v>
      </c>
      <c r="AG55">
        <v>837.47899947035705</v>
      </c>
      <c r="AH55" s="6">
        <v>87.714691351420996</v>
      </c>
      <c r="AI55">
        <v>-67.534228301807204</v>
      </c>
      <c r="AJ55" t="s">
        <v>451</v>
      </c>
    </row>
    <row r="56" spans="1:36" x14ac:dyDescent="0.25">
      <c r="A56" t="s">
        <v>720</v>
      </c>
      <c r="B56" t="s">
        <v>1032</v>
      </c>
      <c r="C56">
        <v>839.83870000000002</v>
      </c>
      <c r="D56" t="s">
        <v>919</v>
      </c>
      <c r="E56">
        <v>-76.177269089999996</v>
      </c>
      <c r="F56">
        <v>168.3912272</v>
      </c>
      <c r="H56" s="1">
        <v>45411</v>
      </c>
      <c r="I56" s="3">
        <v>0.4755787037037037</v>
      </c>
      <c r="K56" s="2">
        <v>45411.474999999999</v>
      </c>
      <c r="L56">
        <v>2024</v>
      </c>
      <c r="M56">
        <v>4</v>
      </c>
      <c r="N56">
        <v>29</v>
      </c>
      <c r="O56">
        <v>120</v>
      </c>
      <c r="P56" s="1">
        <v>45411</v>
      </c>
      <c r="Q56" t="s">
        <v>1033</v>
      </c>
      <c r="R56" s="2">
        <v>45411.474999999999</v>
      </c>
      <c r="S56">
        <v>5.8076090812683097</v>
      </c>
      <c r="T56">
        <v>250.382232666015</v>
      </c>
      <c r="U56">
        <v>247.22373962402301</v>
      </c>
      <c r="V56">
        <v>93.571824087561296</v>
      </c>
      <c r="W56">
        <v>75.167771775562699</v>
      </c>
      <c r="X56">
        <v>93.571824087561296</v>
      </c>
      <c r="Y56">
        <v>0</v>
      </c>
      <c r="Z56">
        <v>7.0136135680058604</v>
      </c>
      <c r="AA56" s="6">
        <v>5890.3041012563999</v>
      </c>
      <c r="AB56">
        <v>7.7887904858636201</v>
      </c>
      <c r="AC56">
        <v>6.2203909060461697</v>
      </c>
      <c r="AD56">
        <v>5224.12501202564</v>
      </c>
      <c r="AE56">
        <v>6541.3276762200703</v>
      </c>
      <c r="AF56">
        <v>5224.12501202564</v>
      </c>
      <c r="AG56">
        <v>6541.3276762200703</v>
      </c>
      <c r="AH56" s="6">
        <v>658.60133209721403</v>
      </c>
      <c r="AI56">
        <v>-75.345338494765201</v>
      </c>
      <c r="AJ56" t="s">
        <v>451</v>
      </c>
    </row>
    <row r="57" spans="1:36" x14ac:dyDescent="0.25">
      <c r="A57" t="s">
        <v>720</v>
      </c>
      <c r="B57" t="s">
        <v>1034</v>
      </c>
      <c r="C57">
        <v>2395.6846660000001</v>
      </c>
      <c r="D57" t="s">
        <v>919</v>
      </c>
      <c r="E57">
        <v>-76.177269089999996</v>
      </c>
      <c r="F57">
        <v>168.3912272</v>
      </c>
      <c r="G57" s="2">
        <v>45414.644444444442</v>
      </c>
      <c r="H57" s="1">
        <v>45414</v>
      </c>
      <c r="I57" s="3">
        <v>0.64462962962962966</v>
      </c>
      <c r="J57" t="s">
        <v>714</v>
      </c>
      <c r="K57" s="2">
        <v>45414.644444444442</v>
      </c>
      <c r="L57">
        <v>2024</v>
      </c>
      <c r="M57">
        <v>5</v>
      </c>
      <c r="N57">
        <v>2</v>
      </c>
      <c r="O57">
        <v>123</v>
      </c>
      <c r="P57" s="1">
        <v>45414</v>
      </c>
      <c r="Q57" t="s">
        <v>1035</v>
      </c>
      <c r="R57" s="2">
        <v>45414.644444444442</v>
      </c>
      <c r="S57">
        <v>2.4931113719940101</v>
      </c>
      <c r="T57">
        <v>251.248123168945</v>
      </c>
      <c r="U57">
        <v>248.82205200195301</v>
      </c>
      <c r="V57">
        <v>99.403209320803697</v>
      </c>
      <c r="W57">
        <v>80.514329120634002</v>
      </c>
      <c r="X57">
        <v>99.403209320803697</v>
      </c>
      <c r="Y57">
        <v>0</v>
      </c>
      <c r="Z57">
        <v>6.2565659652769599</v>
      </c>
      <c r="AA57" s="6">
        <v>14988.7591448315</v>
      </c>
      <c r="AB57">
        <v>6.9976322254431498</v>
      </c>
      <c r="AC57">
        <v>5.5197069653649997</v>
      </c>
      <c r="AD57">
        <v>13223.477337738301</v>
      </c>
      <c r="AE57">
        <v>16764.1202208016</v>
      </c>
      <c r="AF57">
        <v>13223.477337738301</v>
      </c>
      <c r="AG57">
        <v>16764.1202208016</v>
      </c>
      <c r="AH57" s="6">
        <v>1770.3214415316399</v>
      </c>
      <c r="AI57">
        <v>-65.423817431263103</v>
      </c>
      <c r="AJ57" t="s">
        <v>451</v>
      </c>
    </row>
    <row r="58" spans="1:36" x14ac:dyDescent="0.25">
      <c r="A58" t="s">
        <v>720</v>
      </c>
      <c r="B58" t="s">
        <v>1036</v>
      </c>
      <c r="C58">
        <v>1164.7316880000001</v>
      </c>
      <c r="D58" t="s">
        <v>919</v>
      </c>
      <c r="E58">
        <v>-76.177339900000007</v>
      </c>
      <c r="F58">
        <v>168.39055283636301</v>
      </c>
      <c r="G58" s="2">
        <v>45421.888194444444</v>
      </c>
      <c r="H58" s="1">
        <v>45421</v>
      </c>
      <c r="I58" s="3">
        <v>0.88848379629629626</v>
      </c>
      <c r="J58" t="s">
        <v>714</v>
      </c>
      <c r="K58" s="2">
        <v>45421.888194444444</v>
      </c>
      <c r="L58">
        <v>2024</v>
      </c>
      <c r="M58">
        <v>5</v>
      </c>
      <c r="N58">
        <v>9</v>
      </c>
      <c r="O58">
        <v>130</v>
      </c>
      <c r="P58" s="1">
        <v>45421</v>
      </c>
      <c r="Q58" t="s">
        <v>1037</v>
      </c>
      <c r="R58" s="2">
        <v>45421.888194444444</v>
      </c>
      <c r="S58">
        <v>3.0544071197509699</v>
      </c>
      <c r="T58">
        <v>248.85929870605401</v>
      </c>
      <c r="U58">
        <v>246.13015747070301</v>
      </c>
      <c r="V58">
        <v>98.392703130000001</v>
      </c>
      <c r="W58">
        <v>77.903414989061403</v>
      </c>
      <c r="X58">
        <v>98.392703130000001</v>
      </c>
      <c r="Y58">
        <v>0</v>
      </c>
      <c r="Z58">
        <v>6.5558823119453002</v>
      </c>
      <c r="AA58" s="6">
        <v>7635.8438715213997</v>
      </c>
      <c r="AB58">
        <v>7.3261388848555997</v>
      </c>
      <c r="AC58">
        <v>5.7815400869938003</v>
      </c>
      <c r="AD58">
        <v>6733.9429447639604</v>
      </c>
      <c r="AE58">
        <v>8532.9861098802994</v>
      </c>
      <c r="AF58">
        <v>6733.9429447639604</v>
      </c>
      <c r="AG58">
        <v>8532.9861098802994</v>
      </c>
      <c r="AH58" s="6">
        <v>899.52158255817005</v>
      </c>
      <c r="AI58">
        <v>-69.338043129920194</v>
      </c>
      <c r="AJ58" t="s">
        <v>451</v>
      </c>
    </row>
    <row r="59" spans="1:36" x14ac:dyDescent="0.25">
      <c r="A59" t="s">
        <v>720</v>
      </c>
      <c r="B59" t="s">
        <v>1038</v>
      </c>
      <c r="C59">
        <v>990.33649000000003</v>
      </c>
      <c r="D59" t="s">
        <v>919</v>
      </c>
      <c r="E59">
        <v>-76.177269089999996</v>
      </c>
      <c r="F59">
        <v>168.3912272</v>
      </c>
      <c r="H59" s="1">
        <v>45429</v>
      </c>
      <c r="I59" s="3">
        <v>0.87752314814814814</v>
      </c>
      <c r="K59" s="2">
        <v>45429.877083333333</v>
      </c>
      <c r="L59">
        <v>2024</v>
      </c>
      <c r="M59">
        <v>5</v>
      </c>
      <c r="N59">
        <v>17</v>
      </c>
      <c r="O59">
        <v>138</v>
      </c>
      <c r="P59" s="1">
        <v>45429</v>
      </c>
      <c r="Q59" t="s">
        <v>1039</v>
      </c>
      <c r="R59" s="2">
        <v>45429.877083333333</v>
      </c>
      <c r="S59">
        <v>4.8509426116943297</v>
      </c>
      <c r="T59">
        <v>250.0163574</v>
      </c>
      <c r="U59">
        <v>247.16093444824199</v>
      </c>
      <c r="V59">
        <v>96.455969850000002</v>
      </c>
      <c r="W59">
        <v>77.215076305964104</v>
      </c>
      <c r="X59">
        <v>96.455969850000002</v>
      </c>
      <c r="Y59">
        <v>0</v>
      </c>
      <c r="Z59">
        <v>6.8751361506979496</v>
      </c>
      <c r="AA59" s="6">
        <v>6808.6982037543203</v>
      </c>
      <c r="AB59">
        <v>7.6538393154775104</v>
      </c>
      <c r="AC59">
        <v>6.0825599042099698</v>
      </c>
      <c r="AD59">
        <v>6023.7810257500296</v>
      </c>
      <c r="AE59">
        <v>7579.8763627140097</v>
      </c>
      <c r="AF59">
        <v>6023.7810257500296</v>
      </c>
      <c r="AG59">
        <v>7579.8763627140097</v>
      </c>
      <c r="AH59" s="6">
        <v>778.04766848198506</v>
      </c>
      <c r="AI59">
        <v>-73.522283633922498</v>
      </c>
      <c r="AJ59" t="s">
        <v>451</v>
      </c>
    </row>
    <row r="60" spans="1:36" x14ac:dyDescent="0.25">
      <c r="A60" t="s">
        <v>720</v>
      </c>
      <c r="B60" t="s">
        <v>1040</v>
      </c>
      <c r="C60">
        <v>1170.398216</v>
      </c>
      <c r="D60" t="s">
        <v>919</v>
      </c>
      <c r="E60">
        <v>-76.177901989999995</v>
      </c>
      <c r="F60">
        <v>168.39030080000001</v>
      </c>
      <c r="G60" s="2">
        <v>45436.890972222223</v>
      </c>
      <c r="H60" s="1">
        <v>45436</v>
      </c>
      <c r="I60" s="3">
        <v>0.89146990740740739</v>
      </c>
      <c r="J60" t="s">
        <v>714</v>
      </c>
      <c r="K60" s="2">
        <v>45436.890972222223</v>
      </c>
      <c r="L60">
        <v>2024</v>
      </c>
      <c r="M60">
        <v>5</v>
      </c>
      <c r="N60">
        <v>24</v>
      </c>
      <c r="O60">
        <v>145</v>
      </c>
      <c r="P60" s="1">
        <v>45436</v>
      </c>
      <c r="Q60" t="s">
        <v>1041</v>
      </c>
      <c r="R60" s="2">
        <v>45436.890972222223</v>
      </c>
      <c r="S60">
        <v>5.4775247573852504</v>
      </c>
      <c r="T60">
        <v>246.09403991699199</v>
      </c>
      <c r="U60">
        <v>243.16595458984301</v>
      </c>
      <c r="V60">
        <v>98.449651804602695</v>
      </c>
      <c r="W60">
        <v>75.933890717610495</v>
      </c>
      <c r="X60">
        <v>98.449651804602695</v>
      </c>
      <c r="Y60">
        <v>0</v>
      </c>
      <c r="Z60">
        <v>7.3831514359016399</v>
      </c>
      <c r="AA60" s="6">
        <v>8641.2272690371192</v>
      </c>
      <c r="AB60">
        <v>8.2050259387056901</v>
      </c>
      <c r="AC60">
        <v>6.5274135242595897</v>
      </c>
      <c r="AD60">
        <v>7639.6731438876895</v>
      </c>
      <c r="AE60">
        <v>9603.1477208948709</v>
      </c>
      <c r="AF60">
        <v>7639.6731438876895</v>
      </c>
      <c r="AG60">
        <v>9603.1477208948709</v>
      </c>
      <c r="AH60" s="6">
        <v>981.73728850358805</v>
      </c>
      <c r="AI60">
        <v>-80.251584262677994</v>
      </c>
      <c r="AJ60" t="s">
        <v>451</v>
      </c>
    </row>
    <row r="61" spans="1:36" x14ac:dyDescent="0.25">
      <c r="A61" t="s">
        <v>720</v>
      </c>
      <c r="B61" t="s">
        <v>1042</v>
      </c>
      <c r="C61">
        <v>1047.0644890000001</v>
      </c>
      <c r="D61" t="s">
        <v>919</v>
      </c>
      <c r="E61">
        <v>-76.177457070000003</v>
      </c>
      <c r="F61">
        <v>168.3915643</v>
      </c>
      <c r="G61" s="2">
        <v>45450.781944444447</v>
      </c>
      <c r="H61" s="1">
        <v>45450</v>
      </c>
      <c r="I61" s="3">
        <v>0.78238425925925925</v>
      </c>
      <c r="J61" t="s">
        <v>714</v>
      </c>
      <c r="K61" s="2">
        <v>45450.781944444447</v>
      </c>
      <c r="L61">
        <v>2024</v>
      </c>
      <c r="M61">
        <v>6</v>
      </c>
      <c r="N61">
        <v>7</v>
      </c>
      <c r="O61">
        <v>159</v>
      </c>
      <c r="P61" s="1">
        <v>45450</v>
      </c>
      <c r="Q61" t="s">
        <v>1043</v>
      </c>
      <c r="R61" s="2">
        <v>45450.781944444447</v>
      </c>
      <c r="S61">
        <v>2.0998330116271902</v>
      </c>
      <c r="T61">
        <v>254.44248962402301</v>
      </c>
      <c r="U61">
        <v>252.52172849999999</v>
      </c>
      <c r="V61">
        <v>101.40864864208601</v>
      </c>
      <c r="W61">
        <v>84.687848647852604</v>
      </c>
      <c r="X61">
        <v>101.40864864208601</v>
      </c>
      <c r="Y61">
        <v>0</v>
      </c>
      <c r="Z61">
        <v>5.9663069502635997</v>
      </c>
      <c r="AA61" s="6">
        <v>6247.1081380949099</v>
      </c>
      <c r="AB61">
        <v>6.6749778694149899</v>
      </c>
      <c r="AC61">
        <v>5.2684731790741797</v>
      </c>
      <c r="AD61">
        <v>5516.4311770575096</v>
      </c>
      <c r="AE61">
        <v>6989.1322919253098</v>
      </c>
      <c r="AF61">
        <v>5516.4311770575096</v>
      </c>
      <c r="AG61">
        <v>6989.1322919253098</v>
      </c>
      <c r="AH61" s="6">
        <v>736.35055743390103</v>
      </c>
      <c r="AI61">
        <v>-61.619558432817399</v>
      </c>
      <c r="AJ61" t="s">
        <v>451</v>
      </c>
    </row>
    <row r="62" spans="1:36" x14ac:dyDescent="0.25">
      <c r="A62" t="s">
        <v>720</v>
      </c>
      <c r="B62" t="s">
        <v>1044</v>
      </c>
      <c r="C62">
        <v>684.65656000000001</v>
      </c>
      <c r="D62" t="s">
        <v>932</v>
      </c>
      <c r="E62">
        <v>-76.177269089999996</v>
      </c>
      <c r="F62">
        <v>168.3912272</v>
      </c>
      <c r="H62" s="1">
        <v>45467</v>
      </c>
      <c r="I62" s="3">
        <v>0.87193287037037037</v>
      </c>
      <c r="K62" s="2">
        <v>45467.871527777781</v>
      </c>
      <c r="L62">
        <v>2024</v>
      </c>
      <c r="M62">
        <v>6</v>
      </c>
      <c r="N62">
        <v>24</v>
      </c>
      <c r="O62">
        <v>176</v>
      </c>
      <c r="P62" s="1">
        <v>45467</v>
      </c>
      <c r="Q62" t="s">
        <v>1045</v>
      </c>
      <c r="R62" s="2">
        <v>45467.871527777781</v>
      </c>
      <c r="S62">
        <v>4.6711263656616202</v>
      </c>
      <c r="T62">
        <v>244.55871582031199</v>
      </c>
      <c r="U62">
        <v>241.72390747070301</v>
      </c>
      <c r="V62">
        <v>100.37688088235601</v>
      </c>
      <c r="W62">
        <v>76.309073750773095</v>
      </c>
      <c r="X62">
        <v>100.37688088235601</v>
      </c>
      <c r="Y62">
        <v>0</v>
      </c>
      <c r="Z62">
        <v>7.3466457300792998</v>
      </c>
      <c r="AA62" s="6">
        <v>5029.9291930947802</v>
      </c>
      <c r="AB62">
        <v>8.1794730381956793</v>
      </c>
      <c r="AC62">
        <v>6.4804516901993097</v>
      </c>
      <c r="AD62">
        <v>4436.8837614580398</v>
      </c>
      <c r="AE62">
        <v>5600.1298729438004</v>
      </c>
      <c r="AF62">
        <v>4436.8837614580398</v>
      </c>
      <c r="AG62">
        <v>5600.1298729438004</v>
      </c>
      <c r="AH62" s="6">
        <v>581.62305574287996</v>
      </c>
      <c r="AI62">
        <v>-79.763577190616601</v>
      </c>
      <c r="AJ62" t="s">
        <v>451</v>
      </c>
    </row>
    <row r="63" spans="1:36" x14ac:dyDescent="0.25">
      <c r="A63" t="s">
        <v>720</v>
      </c>
      <c r="B63" t="s">
        <v>1046</v>
      </c>
      <c r="C63">
        <v>878.57743909999999</v>
      </c>
      <c r="D63" t="s">
        <v>939</v>
      </c>
      <c r="E63">
        <v>-76.176363300000006</v>
      </c>
      <c r="F63">
        <v>168.39021854285701</v>
      </c>
      <c r="G63" s="2">
        <v>45513.867361111108</v>
      </c>
      <c r="H63" s="1">
        <v>45513</v>
      </c>
      <c r="I63" s="3">
        <v>0.86790509259259263</v>
      </c>
      <c r="J63" t="s">
        <v>714</v>
      </c>
      <c r="K63" s="2">
        <v>45513.867361111108</v>
      </c>
      <c r="L63">
        <v>2024</v>
      </c>
      <c r="M63">
        <v>8</v>
      </c>
      <c r="N63">
        <v>9</v>
      </c>
      <c r="O63">
        <v>222</v>
      </c>
      <c r="P63" s="1">
        <v>45513</v>
      </c>
      <c r="Q63" t="s">
        <v>1047</v>
      </c>
      <c r="R63" s="2">
        <v>45513.867361111108</v>
      </c>
      <c r="S63">
        <v>3.46330213546752</v>
      </c>
      <c r="T63">
        <v>258.48876949999999</v>
      </c>
      <c r="U63">
        <v>255.99053955078099</v>
      </c>
      <c r="V63">
        <v>93.464385367830999</v>
      </c>
      <c r="W63">
        <v>81.148292413961499</v>
      </c>
      <c r="X63">
        <v>93.464385367830999</v>
      </c>
      <c r="Y63">
        <v>0</v>
      </c>
      <c r="Z63">
        <v>5.7929590218465901</v>
      </c>
      <c r="AA63" s="6">
        <v>5089.5631022252101</v>
      </c>
      <c r="AB63">
        <v>6.44125188094708</v>
      </c>
      <c r="AC63">
        <v>5.1572436567848197</v>
      </c>
      <c r="AD63">
        <v>4531.0379247927203</v>
      </c>
      <c r="AE63">
        <v>5659.13858216054</v>
      </c>
      <c r="AF63">
        <v>4531.0379247927203</v>
      </c>
      <c r="AG63">
        <v>5659.13858216054</v>
      </c>
      <c r="AH63" s="6">
        <v>564.05032868390799</v>
      </c>
      <c r="AI63">
        <v>-59.337024620351897</v>
      </c>
      <c r="AJ63" t="s">
        <v>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535D-2933-4CEB-9607-4FF41415F045}">
  <dimension ref="A1:V29"/>
  <sheetViews>
    <sheetView workbookViewId="0">
      <selection activeCell="S24" sqref="S24"/>
    </sheetView>
  </sheetViews>
  <sheetFormatPr defaultRowHeight="15" x14ac:dyDescent="0.25"/>
  <cols>
    <col min="4" max="4" width="12.7109375" customWidth="1"/>
    <col min="5" max="5" width="10.42578125" bestFit="1" customWidth="1"/>
    <col min="9" max="9" width="21.7109375" style="6" customWidth="1"/>
    <col min="20" max="20" width="16.85546875" style="6" bestFit="1" customWidth="1"/>
    <col min="22" max="22" width="14.28515625" bestFit="1" customWidth="1"/>
  </cols>
  <sheetData>
    <row r="1" spans="1:22" x14ac:dyDescent="0.25">
      <c r="A1" t="s">
        <v>68</v>
      </c>
      <c r="B1" t="s">
        <v>77</v>
      </c>
      <c r="C1" t="s">
        <v>78</v>
      </c>
      <c r="D1" t="s">
        <v>891</v>
      </c>
      <c r="E1" t="s">
        <v>892</v>
      </c>
      <c r="F1" t="s">
        <v>893</v>
      </c>
      <c r="G1" t="s">
        <v>894</v>
      </c>
      <c r="H1" t="s">
        <v>895</v>
      </c>
      <c r="I1" s="6" t="s">
        <v>1053</v>
      </c>
      <c r="J1" t="s">
        <v>896</v>
      </c>
      <c r="K1" t="s">
        <v>897</v>
      </c>
      <c r="L1" t="s">
        <v>898</v>
      </c>
      <c r="M1" t="s">
        <v>899</v>
      </c>
      <c r="N1" t="s">
        <v>900</v>
      </c>
      <c r="O1" t="s">
        <v>901</v>
      </c>
      <c r="P1" t="s">
        <v>902</v>
      </c>
      <c r="Q1" t="s">
        <v>903</v>
      </c>
      <c r="R1" t="s">
        <v>904</v>
      </c>
      <c r="S1" t="s">
        <v>905</v>
      </c>
      <c r="T1" s="6" t="s">
        <v>906</v>
      </c>
      <c r="U1" t="s">
        <v>907</v>
      </c>
      <c r="V1" t="s">
        <v>1052</v>
      </c>
    </row>
    <row r="2" spans="1:22" x14ac:dyDescent="0.25">
      <c r="A2" t="s">
        <v>0</v>
      </c>
      <c r="B2">
        <v>-76.930000000000007</v>
      </c>
      <c r="C2">
        <v>166.94</v>
      </c>
      <c r="D2" s="1">
        <v>45847</v>
      </c>
      <c r="E2" s="1">
        <v>45847</v>
      </c>
      <c r="F2">
        <v>190</v>
      </c>
      <c r="G2">
        <v>1</v>
      </c>
      <c r="H2" t="s">
        <v>908</v>
      </c>
      <c r="I2" s="6">
        <v>563.95000000000005</v>
      </c>
      <c r="J2">
        <v>563.95000000000005</v>
      </c>
      <c r="K2">
        <v>497.26</v>
      </c>
      <c r="L2">
        <v>631.70000000000005</v>
      </c>
      <c r="M2">
        <v>67.22</v>
      </c>
      <c r="R2">
        <v>496.73</v>
      </c>
      <c r="S2">
        <v>631.16999999999996</v>
      </c>
      <c r="T2" s="6">
        <v>67.22</v>
      </c>
      <c r="U2">
        <v>23.8</v>
      </c>
      <c r="V2">
        <f t="shared" ref="V2:V8" si="0">I2*2</f>
        <v>1127.9000000000001</v>
      </c>
    </row>
    <row r="3" spans="1:22" x14ac:dyDescent="0.25">
      <c r="A3" t="s">
        <v>111</v>
      </c>
      <c r="B3">
        <v>-77.150000000000006</v>
      </c>
      <c r="C3">
        <v>-157.58000000000001</v>
      </c>
      <c r="D3" s="1">
        <v>45838</v>
      </c>
      <c r="E3" s="1">
        <v>45889</v>
      </c>
      <c r="F3">
        <v>205.2</v>
      </c>
      <c r="G3">
        <v>5</v>
      </c>
      <c r="H3" t="s">
        <v>909</v>
      </c>
      <c r="I3" s="6">
        <v>21418.41</v>
      </c>
      <c r="J3">
        <v>21205.32</v>
      </c>
      <c r="K3">
        <v>19084.68</v>
      </c>
      <c r="L3">
        <v>23655.51</v>
      </c>
      <c r="M3">
        <v>2285.41</v>
      </c>
      <c r="N3">
        <v>4031.19</v>
      </c>
      <c r="O3">
        <v>1802.8</v>
      </c>
      <c r="P3">
        <v>19615.599999999999</v>
      </c>
      <c r="Q3">
        <v>23221.21</v>
      </c>
      <c r="R3">
        <v>18507.53</v>
      </c>
      <c r="S3">
        <v>24329.29</v>
      </c>
      <c r="T3" s="6">
        <v>2910.88</v>
      </c>
      <c r="U3">
        <v>27.2</v>
      </c>
      <c r="V3">
        <f t="shared" si="0"/>
        <v>42836.82</v>
      </c>
    </row>
    <row r="4" spans="1:22" x14ac:dyDescent="0.25">
      <c r="A4" t="s">
        <v>240</v>
      </c>
      <c r="B4">
        <v>-73.349999999999994</v>
      </c>
      <c r="C4">
        <v>169.62</v>
      </c>
      <c r="D4" s="1">
        <v>45838</v>
      </c>
      <c r="E4" s="1">
        <v>45875</v>
      </c>
      <c r="F4">
        <v>199</v>
      </c>
      <c r="G4">
        <v>4</v>
      </c>
      <c r="H4" t="s">
        <v>909</v>
      </c>
      <c r="I4" s="6">
        <v>16088.12</v>
      </c>
      <c r="J4">
        <v>15468.42</v>
      </c>
      <c r="K4">
        <v>14197.38</v>
      </c>
      <c r="L4">
        <v>17960.53</v>
      </c>
      <c r="M4">
        <v>1881.58</v>
      </c>
      <c r="N4">
        <v>3357.1</v>
      </c>
      <c r="O4">
        <v>1678.55</v>
      </c>
      <c r="P4">
        <v>14409.57</v>
      </c>
      <c r="Q4">
        <v>17766.669999999998</v>
      </c>
      <c r="R4">
        <v>13566.64</v>
      </c>
      <c r="S4">
        <v>18609.599999999999</v>
      </c>
      <c r="T4" s="6">
        <v>2521.48</v>
      </c>
      <c r="U4">
        <v>31.3</v>
      </c>
      <c r="V4">
        <f t="shared" si="0"/>
        <v>32176.240000000002</v>
      </c>
    </row>
    <row r="5" spans="1:22" x14ac:dyDescent="0.25">
      <c r="A5" t="s">
        <v>364</v>
      </c>
      <c r="B5">
        <v>-77.45</v>
      </c>
      <c r="C5">
        <v>169.28</v>
      </c>
      <c r="D5" s="1">
        <v>45838</v>
      </c>
      <c r="E5" s="1">
        <v>45874</v>
      </c>
      <c r="F5">
        <v>199</v>
      </c>
      <c r="G5">
        <v>3</v>
      </c>
      <c r="H5" t="s">
        <v>909</v>
      </c>
      <c r="I5" s="6">
        <v>1990.66</v>
      </c>
      <c r="J5">
        <v>1875.91</v>
      </c>
      <c r="K5">
        <v>1772.65</v>
      </c>
      <c r="L5">
        <v>2209.31</v>
      </c>
      <c r="M5">
        <v>218.33</v>
      </c>
      <c r="N5">
        <v>388.43</v>
      </c>
      <c r="O5">
        <v>224.26</v>
      </c>
      <c r="P5">
        <v>1766.4</v>
      </c>
      <c r="Q5">
        <v>2214.92</v>
      </c>
      <c r="R5">
        <v>1677.68</v>
      </c>
      <c r="S5">
        <v>2303.65</v>
      </c>
      <c r="T5" s="6">
        <v>312.98</v>
      </c>
      <c r="U5">
        <v>31.4</v>
      </c>
      <c r="V5">
        <f t="shared" si="0"/>
        <v>3981.32</v>
      </c>
    </row>
    <row r="6" spans="1:22" x14ac:dyDescent="0.25">
      <c r="A6" t="s">
        <v>451</v>
      </c>
      <c r="B6">
        <v>-76.180000000000007</v>
      </c>
      <c r="C6">
        <v>168.39</v>
      </c>
      <c r="D6" s="1">
        <v>45838</v>
      </c>
      <c r="E6" s="1">
        <v>45875</v>
      </c>
      <c r="F6">
        <v>200.67</v>
      </c>
      <c r="G6">
        <v>3</v>
      </c>
      <c r="H6" t="s">
        <v>909</v>
      </c>
      <c r="I6" s="6">
        <v>4318.43</v>
      </c>
      <c r="J6">
        <v>4363.3100000000004</v>
      </c>
      <c r="K6">
        <v>3808.27</v>
      </c>
      <c r="L6">
        <v>4827.34</v>
      </c>
      <c r="M6">
        <v>509.53</v>
      </c>
      <c r="N6">
        <v>300.5</v>
      </c>
      <c r="O6">
        <v>173.49</v>
      </c>
      <c r="P6">
        <v>4144.93</v>
      </c>
      <c r="Q6">
        <v>4491.92</v>
      </c>
      <c r="R6">
        <v>3780.17</v>
      </c>
      <c r="S6">
        <v>4856.6899999999996</v>
      </c>
      <c r="T6" s="6">
        <v>538.26</v>
      </c>
      <c r="U6">
        <v>24.9</v>
      </c>
      <c r="V6">
        <f t="shared" si="0"/>
        <v>8636.86</v>
      </c>
    </row>
    <row r="7" spans="1:22" x14ac:dyDescent="0.25">
      <c r="A7" t="s">
        <v>538</v>
      </c>
      <c r="B7">
        <v>-71.98</v>
      </c>
      <c r="C7">
        <v>170.61</v>
      </c>
      <c r="D7" s="1">
        <v>45838</v>
      </c>
      <c r="E7" s="1">
        <v>45875</v>
      </c>
      <c r="F7">
        <v>199.33</v>
      </c>
      <c r="G7">
        <v>3</v>
      </c>
      <c r="H7" t="s">
        <v>909</v>
      </c>
      <c r="I7" s="6">
        <v>7252.01</v>
      </c>
      <c r="J7">
        <v>7238.65</v>
      </c>
      <c r="K7">
        <v>6525.64</v>
      </c>
      <c r="L7">
        <v>7995.11</v>
      </c>
      <c r="M7">
        <v>734.74</v>
      </c>
      <c r="N7">
        <v>1407.43</v>
      </c>
      <c r="O7">
        <v>812.58</v>
      </c>
      <c r="P7">
        <v>6439.43</v>
      </c>
      <c r="Q7">
        <v>8064.59</v>
      </c>
      <c r="R7">
        <v>6156.51</v>
      </c>
      <c r="S7">
        <v>8347.51</v>
      </c>
      <c r="T7" s="6">
        <v>1095.5</v>
      </c>
      <c r="U7">
        <v>30.2</v>
      </c>
      <c r="V7">
        <f t="shared" si="0"/>
        <v>14504.02</v>
      </c>
    </row>
    <row r="8" spans="1:22" x14ac:dyDescent="0.25">
      <c r="A8" t="s">
        <v>623</v>
      </c>
      <c r="B8">
        <v>-74.650000000000006</v>
      </c>
      <c r="C8">
        <v>165.39</v>
      </c>
      <c r="D8" s="1">
        <v>45838</v>
      </c>
      <c r="E8" s="1">
        <v>45875</v>
      </c>
      <c r="F8">
        <v>199.33</v>
      </c>
      <c r="G8">
        <v>3</v>
      </c>
      <c r="H8" t="s">
        <v>909</v>
      </c>
      <c r="I8" s="6">
        <v>11367.9</v>
      </c>
      <c r="J8">
        <v>12318.18</v>
      </c>
      <c r="K8">
        <v>10185.33</v>
      </c>
      <c r="L8">
        <v>12542.33</v>
      </c>
      <c r="M8">
        <v>1178.5</v>
      </c>
      <c r="N8">
        <v>2400.33</v>
      </c>
      <c r="O8">
        <v>1385.83</v>
      </c>
      <c r="P8">
        <v>9982.07</v>
      </c>
      <c r="Q8">
        <v>12753.74</v>
      </c>
      <c r="R8">
        <v>9548.73</v>
      </c>
      <c r="S8">
        <v>13187.08</v>
      </c>
      <c r="T8" s="6">
        <v>1819.17</v>
      </c>
      <c r="U8">
        <v>32</v>
      </c>
      <c r="V8">
        <f t="shared" si="0"/>
        <v>22735.8</v>
      </c>
    </row>
    <row r="9" spans="1:22" x14ac:dyDescent="0.25">
      <c r="A9" t="s">
        <v>240</v>
      </c>
      <c r="B9">
        <v>-73.349999999999994</v>
      </c>
      <c r="C9">
        <v>169.64</v>
      </c>
      <c r="D9" s="1">
        <v>45483</v>
      </c>
      <c r="E9" s="1">
        <v>45510</v>
      </c>
      <c r="F9">
        <v>196.5</v>
      </c>
      <c r="G9">
        <v>4</v>
      </c>
      <c r="H9" t="s">
        <v>909</v>
      </c>
      <c r="I9" s="6">
        <v>16376.19</v>
      </c>
      <c r="J9">
        <v>16344.83</v>
      </c>
      <c r="K9">
        <v>14561.66</v>
      </c>
      <c r="L9">
        <v>18146.310000000001</v>
      </c>
      <c r="M9">
        <v>1792.33</v>
      </c>
      <c r="N9">
        <v>3164.25</v>
      </c>
      <c r="O9">
        <v>1582.13</v>
      </c>
      <c r="P9">
        <v>14794.07</v>
      </c>
      <c r="Q9">
        <v>17958.32</v>
      </c>
      <c r="R9">
        <v>13985.47</v>
      </c>
      <c r="S9">
        <v>18766.919999999998</v>
      </c>
      <c r="T9" s="6">
        <v>2390.7199999999998</v>
      </c>
      <c r="U9">
        <v>29.2</v>
      </c>
      <c r="V9">
        <f>I9*2</f>
        <v>32752.38</v>
      </c>
    </row>
    <row r="10" spans="1:22" x14ac:dyDescent="0.25">
      <c r="A10" t="s">
        <v>364</v>
      </c>
      <c r="B10">
        <v>-77.45</v>
      </c>
      <c r="C10">
        <v>169.28</v>
      </c>
      <c r="D10" s="1">
        <v>45467</v>
      </c>
      <c r="E10" s="1">
        <v>45489</v>
      </c>
      <c r="F10">
        <v>188.33</v>
      </c>
      <c r="G10">
        <v>3</v>
      </c>
      <c r="H10" t="s">
        <v>909</v>
      </c>
      <c r="I10" s="6">
        <v>1825</v>
      </c>
      <c r="J10">
        <v>1796.07</v>
      </c>
      <c r="K10">
        <v>1618.23</v>
      </c>
      <c r="L10">
        <v>2027.91</v>
      </c>
      <c r="M10">
        <v>204.84</v>
      </c>
      <c r="N10">
        <v>122.37</v>
      </c>
      <c r="O10">
        <v>70.650000000000006</v>
      </c>
      <c r="P10">
        <v>1754.35</v>
      </c>
      <c r="Q10">
        <v>1895.65</v>
      </c>
      <c r="R10">
        <v>1608.32</v>
      </c>
      <c r="S10">
        <v>2041.68</v>
      </c>
      <c r="T10" s="6">
        <v>216.68</v>
      </c>
      <c r="U10">
        <v>23.7</v>
      </c>
      <c r="V10">
        <f t="shared" ref="V10:V13" si="1">I10*2</f>
        <v>3650</v>
      </c>
    </row>
    <row r="11" spans="1:22" x14ac:dyDescent="0.25">
      <c r="A11" t="s">
        <v>451</v>
      </c>
      <c r="B11">
        <v>-76.180000000000007</v>
      </c>
      <c r="C11">
        <v>168.39</v>
      </c>
      <c r="D11" s="1">
        <v>45467</v>
      </c>
      <c r="E11" s="1">
        <v>45467</v>
      </c>
      <c r="F11">
        <v>176</v>
      </c>
      <c r="G11">
        <v>1</v>
      </c>
      <c r="H11" t="s">
        <v>908</v>
      </c>
      <c r="I11" s="6">
        <v>5029.93</v>
      </c>
      <c r="J11">
        <v>5029.93</v>
      </c>
      <c r="K11">
        <v>4436.88</v>
      </c>
      <c r="L11">
        <v>5600.13</v>
      </c>
      <c r="M11">
        <v>581.62</v>
      </c>
      <c r="R11">
        <v>4448.3100000000004</v>
      </c>
      <c r="S11">
        <v>5611.55</v>
      </c>
      <c r="T11" s="6">
        <v>581.62</v>
      </c>
      <c r="U11">
        <v>23.1</v>
      </c>
      <c r="V11">
        <f t="shared" si="1"/>
        <v>10059.86</v>
      </c>
    </row>
    <row r="12" spans="1:22" x14ac:dyDescent="0.25">
      <c r="A12" t="s">
        <v>538</v>
      </c>
      <c r="B12">
        <v>-71.98</v>
      </c>
      <c r="C12">
        <v>170.6</v>
      </c>
      <c r="D12" s="1">
        <v>45464</v>
      </c>
      <c r="E12" s="1">
        <v>45489</v>
      </c>
      <c r="F12">
        <v>185</v>
      </c>
      <c r="G12">
        <v>4</v>
      </c>
      <c r="H12" t="s">
        <v>909</v>
      </c>
      <c r="I12" s="6">
        <v>5261.45</v>
      </c>
      <c r="J12">
        <v>4990.1499999999996</v>
      </c>
      <c r="K12">
        <v>4715.57</v>
      </c>
      <c r="L12">
        <v>5806.73</v>
      </c>
      <c r="M12">
        <v>545.58000000000004</v>
      </c>
      <c r="N12">
        <v>1527.47</v>
      </c>
      <c r="O12">
        <v>763.73</v>
      </c>
      <c r="P12">
        <v>4497.72</v>
      </c>
      <c r="Q12">
        <v>6025.18</v>
      </c>
      <c r="R12">
        <v>4322.8599999999997</v>
      </c>
      <c r="S12">
        <v>6200.04</v>
      </c>
      <c r="T12" s="6">
        <v>938.59</v>
      </c>
      <c r="U12">
        <v>35.700000000000003</v>
      </c>
      <c r="V12">
        <f t="shared" si="1"/>
        <v>10522.9</v>
      </c>
    </row>
    <row r="13" spans="1:22" x14ac:dyDescent="0.25">
      <c r="A13" t="s">
        <v>623</v>
      </c>
      <c r="B13">
        <v>-74.650000000000006</v>
      </c>
      <c r="C13">
        <v>165.39</v>
      </c>
      <c r="D13" s="1">
        <v>45463</v>
      </c>
      <c r="E13" s="1">
        <v>45510</v>
      </c>
      <c r="F13">
        <v>190</v>
      </c>
      <c r="G13">
        <v>4</v>
      </c>
      <c r="H13" t="s">
        <v>909</v>
      </c>
      <c r="I13" s="6">
        <v>10341.24</v>
      </c>
      <c r="J13">
        <v>10307.290000000001</v>
      </c>
      <c r="K13">
        <v>9264.18</v>
      </c>
      <c r="L13">
        <v>11396.65</v>
      </c>
      <c r="M13">
        <v>1066.24</v>
      </c>
      <c r="N13">
        <v>3138.83</v>
      </c>
      <c r="O13">
        <v>1569.42</v>
      </c>
      <c r="P13">
        <v>8771.82</v>
      </c>
      <c r="Q13">
        <v>11910.66</v>
      </c>
      <c r="R13">
        <v>8443.89</v>
      </c>
      <c r="S13">
        <v>12238.59</v>
      </c>
      <c r="T13" s="6">
        <v>1897.35</v>
      </c>
      <c r="U13">
        <v>36.700000000000003</v>
      </c>
      <c r="V13">
        <f t="shared" si="1"/>
        <v>20682.48</v>
      </c>
    </row>
    <row r="22" spans="10:10" x14ac:dyDescent="0.25">
      <c r="J22" s="6"/>
    </row>
    <row r="23" spans="10:10" x14ac:dyDescent="0.25">
      <c r="J23" s="6"/>
    </row>
    <row r="24" spans="10:10" x14ac:dyDescent="0.25">
      <c r="J24" s="6"/>
    </row>
    <row r="25" spans="10:10" x14ac:dyDescent="0.25">
      <c r="J25" s="6"/>
    </row>
    <row r="26" spans="10:10" x14ac:dyDescent="0.25">
      <c r="J26" s="6"/>
    </row>
    <row r="27" spans="10:10" x14ac:dyDescent="0.25">
      <c r="J27" s="6"/>
    </row>
    <row r="28" spans="10:10" x14ac:dyDescent="0.25">
      <c r="J28" s="6"/>
    </row>
    <row r="29" spans="10:10" x14ac:dyDescent="0.25">
      <c r="J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C114-5289-4E03-A3A2-8FEB94AAA1CD}">
  <dimension ref="A1:AC29"/>
  <sheetViews>
    <sheetView workbookViewId="0">
      <selection activeCell="D16" sqref="D16:E16"/>
    </sheetView>
  </sheetViews>
  <sheetFormatPr defaultRowHeight="15" x14ac:dyDescent="0.25"/>
  <cols>
    <col min="4" max="5" width="9.140625" style="6"/>
  </cols>
  <sheetData>
    <row r="1" spans="1:29" x14ac:dyDescent="0.25">
      <c r="A1" t="s">
        <v>75</v>
      </c>
      <c r="B1" t="s">
        <v>724</v>
      </c>
      <c r="C1" t="s">
        <v>68</v>
      </c>
      <c r="D1" s="6" t="s">
        <v>725</v>
      </c>
      <c r="E1" s="6" t="s">
        <v>726</v>
      </c>
      <c r="F1" t="s">
        <v>727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737</v>
      </c>
      <c r="Q1" t="s">
        <v>738</v>
      </c>
      <c r="R1" t="s">
        <v>69</v>
      </c>
      <c r="S1" t="s">
        <v>739</v>
      </c>
      <c r="T1" t="s">
        <v>77</v>
      </c>
      <c r="U1" t="s">
        <v>78</v>
      </c>
      <c r="V1" t="s">
        <v>740</v>
      </c>
      <c r="W1" t="s">
        <v>741</v>
      </c>
      <c r="X1" t="s">
        <v>742</v>
      </c>
      <c r="Y1" t="s">
        <v>743</v>
      </c>
      <c r="Z1" t="s">
        <v>744</v>
      </c>
      <c r="AA1" t="s">
        <v>745</v>
      </c>
      <c r="AB1" t="s">
        <v>746</v>
      </c>
      <c r="AC1" t="s">
        <v>747</v>
      </c>
    </row>
    <row r="2" spans="1:29" x14ac:dyDescent="0.25">
      <c r="A2">
        <v>2024</v>
      </c>
      <c r="B2">
        <v>1</v>
      </c>
      <c r="C2" t="s">
        <v>111</v>
      </c>
      <c r="D2" s="6">
        <v>23821.739111590701</v>
      </c>
      <c r="E2" s="6">
        <v>6363.6769728346799</v>
      </c>
      <c r="F2">
        <v>14664.1065875721</v>
      </c>
      <c r="G2">
        <v>15644.1977725334</v>
      </c>
      <c r="H2">
        <v>22766.4372689796</v>
      </c>
      <c r="I2">
        <v>35484.6395129991</v>
      </c>
      <c r="J2">
        <v>39193.524320555603</v>
      </c>
      <c r="K2">
        <v>8131.1761825000704</v>
      </c>
      <c r="L2">
        <v>-6286.0792168415901</v>
      </c>
      <c r="M2">
        <v>-3611.41485847271</v>
      </c>
      <c r="N2">
        <v>7640.3033796895197</v>
      </c>
      <c r="O2">
        <v>21464.5470017144</v>
      </c>
      <c r="P2">
        <v>24994.420230953001</v>
      </c>
      <c r="Q2">
        <v>0.124033333333333</v>
      </c>
      <c r="R2" t="s">
        <v>709</v>
      </c>
      <c r="S2" t="s">
        <v>710</v>
      </c>
      <c r="T2">
        <v>-77.135000000000005</v>
      </c>
      <c r="U2">
        <v>-157.715</v>
      </c>
      <c r="V2" t="s">
        <v>711</v>
      </c>
      <c r="W2" t="s">
        <v>712</v>
      </c>
      <c r="X2" t="s">
        <v>713</v>
      </c>
      <c r="Y2" t="s">
        <v>713</v>
      </c>
      <c r="AA2" t="s">
        <v>714</v>
      </c>
      <c r="AB2" t="s">
        <v>714</v>
      </c>
      <c r="AC2" t="s">
        <v>709</v>
      </c>
    </row>
    <row r="3" spans="1:29" x14ac:dyDescent="0.25">
      <c r="A3">
        <v>2024</v>
      </c>
      <c r="B3">
        <v>2</v>
      </c>
      <c r="C3" t="s">
        <v>623</v>
      </c>
      <c r="D3" s="6">
        <v>7458.1892687337604</v>
      </c>
      <c r="E3" s="6">
        <v>1616.4237107541401</v>
      </c>
      <c r="F3">
        <v>5011.3738760154301</v>
      </c>
      <c r="G3">
        <v>5300.0218474790299</v>
      </c>
      <c r="H3">
        <v>7213.04399250603</v>
      </c>
      <c r="I3">
        <v>10433.216598199</v>
      </c>
      <c r="J3">
        <v>11265.553825072</v>
      </c>
      <c r="K3">
        <v>-8744.1333896615506</v>
      </c>
      <c r="L3">
        <v>-16434.285272327801</v>
      </c>
      <c r="M3">
        <v>-14919.5485720822</v>
      </c>
      <c r="N3">
        <v>-8530.9905726213001</v>
      </c>
      <c r="O3">
        <v>-3306.4731657542102</v>
      </c>
      <c r="P3">
        <v>-2254.90796277352</v>
      </c>
      <c r="Q3">
        <v>0.99553333333333305</v>
      </c>
      <c r="R3" t="s">
        <v>624</v>
      </c>
      <c r="S3" t="s">
        <v>715</v>
      </c>
      <c r="T3">
        <v>-74.64</v>
      </c>
      <c r="U3">
        <v>165.37</v>
      </c>
      <c r="V3" t="s">
        <v>716</v>
      </c>
      <c r="W3" t="s">
        <v>717</v>
      </c>
      <c r="X3" t="s">
        <v>713</v>
      </c>
      <c r="Y3" t="s">
        <v>713</v>
      </c>
      <c r="AA3" t="s">
        <v>714</v>
      </c>
      <c r="AB3" t="s">
        <v>714</v>
      </c>
      <c r="AC3" t="s">
        <v>624</v>
      </c>
    </row>
    <row r="4" spans="1:29" x14ac:dyDescent="0.25">
      <c r="A4">
        <v>2024</v>
      </c>
      <c r="B4">
        <v>3</v>
      </c>
      <c r="C4" t="s">
        <v>0</v>
      </c>
      <c r="D4" s="6">
        <v>293.27367138409801</v>
      </c>
      <c r="E4" s="6">
        <v>123.62036790900601</v>
      </c>
      <c r="F4">
        <v>135.54496773051699</v>
      </c>
      <c r="G4">
        <v>152.567458081426</v>
      </c>
      <c r="H4">
        <v>268.85574094243498</v>
      </c>
      <c r="I4">
        <v>518.34366789908995</v>
      </c>
      <c r="J4">
        <v>597.88526993912603</v>
      </c>
      <c r="K4">
        <v>-1308.4610535371</v>
      </c>
      <c r="L4">
        <v>-2016.29069144049</v>
      </c>
      <c r="M4">
        <v>-1881.2700589630799</v>
      </c>
      <c r="N4">
        <v>-1283.54320768671</v>
      </c>
      <c r="O4">
        <v>-824.01886238468398</v>
      </c>
      <c r="P4">
        <v>-739.18735257171898</v>
      </c>
      <c r="Q4">
        <v>0.99986666666666701</v>
      </c>
      <c r="R4" t="s">
        <v>718</v>
      </c>
      <c r="S4" t="s">
        <v>719</v>
      </c>
      <c r="T4">
        <v>-76.94</v>
      </c>
      <c r="U4">
        <v>167.02</v>
      </c>
      <c r="V4" t="s">
        <v>716</v>
      </c>
      <c r="W4" t="s">
        <v>717</v>
      </c>
      <c r="X4" t="s">
        <v>713</v>
      </c>
      <c r="Y4" t="s">
        <v>713</v>
      </c>
      <c r="AA4" t="s">
        <v>714</v>
      </c>
      <c r="AB4" t="s">
        <v>714</v>
      </c>
      <c r="AC4" t="s">
        <v>718</v>
      </c>
    </row>
    <row r="5" spans="1:29" x14ac:dyDescent="0.25">
      <c r="A5">
        <v>2024</v>
      </c>
      <c r="B5">
        <v>4</v>
      </c>
      <c r="C5" t="s">
        <v>451</v>
      </c>
      <c r="D5" s="6">
        <v>3172.5315182796198</v>
      </c>
      <c r="E5" s="6">
        <v>836.95163966881898</v>
      </c>
      <c r="F5">
        <v>1905.2290595910699</v>
      </c>
      <c r="G5">
        <v>2080.9252761609</v>
      </c>
      <c r="H5">
        <v>3077.4080676681301</v>
      </c>
      <c r="I5">
        <v>4637.2667955783099</v>
      </c>
      <c r="J5">
        <v>5052.2190215521696</v>
      </c>
      <c r="K5">
        <v>-1560.9824508329</v>
      </c>
      <c r="L5">
        <v>-4057.8226377845799</v>
      </c>
      <c r="M5">
        <v>-3546.5893492207802</v>
      </c>
      <c r="N5">
        <v>-1551.15754674649</v>
      </c>
      <c r="O5">
        <v>376.900317623207</v>
      </c>
      <c r="P5">
        <v>815.30140441759397</v>
      </c>
      <c r="Q5">
        <v>0.91279999999999994</v>
      </c>
      <c r="R5" t="s">
        <v>452</v>
      </c>
      <c r="S5" t="s">
        <v>720</v>
      </c>
      <c r="T5">
        <v>-76.180000000000007</v>
      </c>
      <c r="U5">
        <v>168.43</v>
      </c>
      <c r="V5" t="s">
        <v>716</v>
      </c>
      <c r="W5" t="s">
        <v>717</v>
      </c>
      <c r="X5" t="s">
        <v>713</v>
      </c>
      <c r="Y5" t="s">
        <v>713</v>
      </c>
      <c r="AA5" t="s">
        <v>714</v>
      </c>
      <c r="AB5" t="s">
        <v>714</v>
      </c>
      <c r="AC5" t="s">
        <v>452</v>
      </c>
    </row>
    <row r="6" spans="1:29" x14ac:dyDescent="0.25">
      <c r="A6">
        <v>2024</v>
      </c>
      <c r="B6">
        <v>5</v>
      </c>
      <c r="C6" t="s">
        <v>364</v>
      </c>
      <c r="D6" s="6">
        <v>1332.22398527275</v>
      </c>
      <c r="E6" s="6">
        <v>232.35302783361001</v>
      </c>
      <c r="F6">
        <v>933.98099259225603</v>
      </c>
      <c r="G6">
        <v>986.19322880996197</v>
      </c>
      <c r="H6">
        <v>1313.0475236684799</v>
      </c>
      <c r="I6">
        <v>1741.59127562044</v>
      </c>
      <c r="J6">
        <v>1844.74446101832</v>
      </c>
      <c r="K6">
        <v>846.54152877208196</v>
      </c>
      <c r="L6">
        <v>391.20198230062601</v>
      </c>
      <c r="M6">
        <v>460.66362556900799</v>
      </c>
      <c r="N6">
        <v>832.41366819508096</v>
      </c>
      <c r="O6">
        <v>1282.55193383557</v>
      </c>
      <c r="P6">
        <v>1390.3588542249099</v>
      </c>
      <c r="Q6" s="4" t="s">
        <v>1051</v>
      </c>
      <c r="R6" t="s">
        <v>365</v>
      </c>
      <c r="S6" t="s">
        <v>721</v>
      </c>
      <c r="T6">
        <v>-77.459999999999994</v>
      </c>
      <c r="U6">
        <v>169.32</v>
      </c>
      <c r="V6" t="s">
        <v>716</v>
      </c>
      <c r="W6" t="s">
        <v>717</v>
      </c>
      <c r="X6" t="s">
        <v>713</v>
      </c>
      <c r="Y6" t="s">
        <v>713</v>
      </c>
      <c r="AA6" t="s">
        <v>714</v>
      </c>
      <c r="AB6" t="s">
        <v>714</v>
      </c>
      <c r="AC6" t="s">
        <v>365</v>
      </c>
    </row>
    <row r="7" spans="1:29" x14ac:dyDescent="0.25">
      <c r="A7">
        <v>2024</v>
      </c>
      <c r="B7">
        <v>6</v>
      </c>
      <c r="C7" t="s">
        <v>240</v>
      </c>
      <c r="D7" s="6">
        <v>12045.8161844612</v>
      </c>
      <c r="E7" s="6">
        <v>2349.1057802120499</v>
      </c>
      <c r="F7">
        <v>8327.7220206722905</v>
      </c>
      <c r="G7">
        <v>8791.6111316070292</v>
      </c>
      <c r="H7">
        <v>11741.2842204267</v>
      </c>
      <c r="I7">
        <v>16317.0085783903</v>
      </c>
      <c r="J7">
        <v>17537.975685226898</v>
      </c>
      <c r="K7">
        <v>-16784.706667880098</v>
      </c>
      <c r="L7">
        <v>-29397.580744286799</v>
      </c>
      <c r="M7">
        <v>-26922.380627312101</v>
      </c>
      <c r="N7">
        <v>-16349.3712376611</v>
      </c>
      <c r="O7">
        <v>-8180.9754580661101</v>
      </c>
      <c r="P7">
        <v>-6605.85345196666</v>
      </c>
      <c r="Q7">
        <v>0.99936666666666696</v>
      </c>
      <c r="R7" t="s">
        <v>241</v>
      </c>
      <c r="S7" t="s">
        <v>722</v>
      </c>
      <c r="T7">
        <v>-73.349999999999994</v>
      </c>
      <c r="U7">
        <v>169.61</v>
      </c>
      <c r="V7" t="s">
        <v>716</v>
      </c>
      <c r="W7" t="s">
        <v>717</v>
      </c>
      <c r="X7" t="s">
        <v>713</v>
      </c>
      <c r="Y7" t="s">
        <v>713</v>
      </c>
      <c r="AA7" t="s">
        <v>714</v>
      </c>
      <c r="AB7" t="s">
        <v>714</v>
      </c>
      <c r="AC7" t="s">
        <v>241</v>
      </c>
    </row>
    <row r="8" spans="1:29" x14ac:dyDescent="0.25">
      <c r="A8">
        <v>2024</v>
      </c>
      <c r="B8">
        <v>7</v>
      </c>
      <c r="C8" t="s">
        <v>538</v>
      </c>
      <c r="D8" s="6">
        <v>4382.1129978388999</v>
      </c>
      <c r="E8" s="6">
        <v>814.91775564922602</v>
      </c>
      <c r="F8">
        <v>3070.80149484701</v>
      </c>
      <c r="G8">
        <v>3236.29058457361</v>
      </c>
      <c r="H8">
        <v>4281.1531992295604</v>
      </c>
      <c r="I8">
        <v>5856.3647593975702</v>
      </c>
      <c r="J8">
        <v>6267.1651990555101</v>
      </c>
      <c r="K8">
        <v>-2945.9035191182302</v>
      </c>
      <c r="L8">
        <v>-7288.0292113388196</v>
      </c>
      <c r="M8">
        <v>-6347.96085833497</v>
      </c>
      <c r="N8">
        <v>-2750.83269887816</v>
      </c>
      <c r="O8">
        <v>-176.418783089003</v>
      </c>
      <c r="P8">
        <v>306.87248064550101</v>
      </c>
      <c r="Q8">
        <v>0.96079999999999999</v>
      </c>
      <c r="R8" t="s">
        <v>539</v>
      </c>
      <c r="S8" t="s">
        <v>723</v>
      </c>
      <c r="T8">
        <v>-71.989999999999995</v>
      </c>
      <c r="U8">
        <v>170.59</v>
      </c>
      <c r="V8" t="s">
        <v>716</v>
      </c>
      <c r="W8" t="s">
        <v>717</v>
      </c>
      <c r="X8" t="s">
        <v>713</v>
      </c>
      <c r="Y8" t="s">
        <v>713</v>
      </c>
      <c r="AA8" t="s">
        <v>714</v>
      </c>
      <c r="AB8" t="s">
        <v>714</v>
      </c>
      <c r="AC8" t="s">
        <v>539</v>
      </c>
    </row>
    <row r="9" spans="1:29" x14ac:dyDescent="0.25">
      <c r="A9">
        <v>2025</v>
      </c>
      <c r="B9">
        <v>1</v>
      </c>
      <c r="C9" t="s">
        <v>111</v>
      </c>
      <c r="D9" s="6">
        <v>23618.610811503899</v>
      </c>
      <c r="E9" s="6">
        <v>6739.4749036125704</v>
      </c>
      <c r="F9">
        <v>14509.003451484899</v>
      </c>
      <c r="G9">
        <v>15448.699477186199</v>
      </c>
      <c r="H9">
        <v>22323.703188195501</v>
      </c>
      <c r="I9">
        <v>36064.979850748598</v>
      </c>
      <c r="J9">
        <v>40321.972022043497</v>
      </c>
      <c r="K9">
        <v>8111.27570793417</v>
      </c>
      <c r="L9">
        <v>-6404.0842302528299</v>
      </c>
      <c r="M9">
        <v>-3950.7715704338102</v>
      </c>
      <c r="N9">
        <v>7486.0689105291904</v>
      </c>
      <c r="O9">
        <v>22102.3029341029</v>
      </c>
      <c r="P9">
        <v>26435.271072275598</v>
      </c>
      <c r="Q9">
        <v>0.12843333333333301</v>
      </c>
      <c r="R9" t="s">
        <v>709</v>
      </c>
      <c r="S9" t="s">
        <v>710</v>
      </c>
      <c r="T9">
        <v>-77.135000000000005</v>
      </c>
      <c r="U9">
        <v>-157.715</v>
      </c>
      <c r="V9" t="s">
        <v>711</v>
      </c>
      <c r="W9" t="s">
        <v>712</v>
      </c>
      <c r="X9" t="s">
        <v>713</v>
      </c>
      <c r="Y9" t="s">
        <v>713</v>
      </c>
      <c r="AA9" t="s">
        <v>714</v>
      </c>
      <c r="AB9" t="s">
        <v>714</v>
      </c>
      <c r="AC9" t="s">
        <v>709</v>
      </c>
    </row>
    <row r="10" spans="1:29" x14ac:dyDescent="0.25">
      <c r="A10">
        <v>2025</v>
      </c>
      <c r="B10">
        <v>2</v>
      </c>
      <c r="C10" t="s">
        <v>623</v>
      </c>
      <c r="D10" s="6">
        <v>6819.6388978741297</v>
      </c>
      <c r="E10" s="6">
        <v>1786.3114644796401</v>
      </c>
      <c r="F10">
        <v>4235.5532993673896</v>
      </c>
      <c r="G10">
        <v>4509.13299553872</v>
      </c>
      <c r="H10">
        <v>6527.4515037647398</v>
      </c>
      <c r="I10">
        <v>10111.3510870258</v>
      </c>
      <c r="J10">
        <v>11092.7473120021</v>
      </c>
      <c r="K10">
        <v>-9292.8145604545498</v>
      </c>
      <c r="L10">
        <v>-16876.774181021399</v>
      </c>
      <c r="M10">
        <v>-15439.875147499301</v>
      </c>
      <c r="N10">
        <v>-9156.2828404080792</v>
      </c>
      <c r="O10">
        <v>-3630.45346293596</v>
      </c>
      <c r="P10">
        <v>-2534.08905504526</v>
      </c>
      <c r="Q10">
        <v>0.99526666666666697</v>
      </c>
      <c r="R10" t="s">
        <v>624</v>
      </c>
      <c r="S10" t="s">
        <v>715</v>
      </c>
      <c r="T10">
        <v>-74.64</v>
      </c>
      <c r="U10">
        <v>165.37</v>
      </c>
      <c r="V10" t="s">
        <v>716</v>
      </c>
      <c r="W10" t="s">
        <v>717</v>
      </c>
      <c r="X10" t="s">
        <v>713</v>
      </c>
      <c r="Y10" t="s">
        <v>713</v>
      </c>
      <c r="AA10" t="s">
        <v>714</v>
      </c>
      <c r="AB10" t="s">
        <v>714</v>
      </c>
      <c r="AC10" t="s">
        <v>624</v>
      </c>
    </row>
    <row r="11" spans="1:29" x14ac:dyDescent="0.25">
      <c r="A11">
        <v>2025</v>
      </c>
      <c r="B11">
        <v>3</v>
      </c>
      <c r="C11" t="s">
        <v>0</v>
      </c>
      <c r="D11" s="6">
        <v>273.89797034803797</v>
      </c>
      <c r="E11" s="6">
        <v>113.644228857277</v>
      </c>
      <c r="F11">
        <v>137.06647804900601</v>
      </c>
      <c r="G11">
        <v>148.91268433091699</v>
      </c>
      <c r="H11">
        <v>247.89765286551301</v>
      </c>
      <c r="I11">
        <v>483.246639060424</v>
      </c>
      <c r="J11">
        <v>561.17004865093099</v>
      </c>
      <c r="K11">
        <v>-1291.5696602524299</v>
      </c>
      <c r="L11">
        <v>-1956.06800240237</v>
      </c>
      <c r="M11">
        <v>-1818.09571824918</v>
      </c>
      <c r="N11">
        <v>-1269.4434099918601</v>
      </c>
      <c r="O11">
        <v>-835.23863821533303</v>
      </c>
      <c r="P11">
        <v>-749.24649782885604</v>
      </c>
      <c r="Q11">
        <v>0.99986666666666701</v>
      </c>
      <c r="R11" t="s">
        <v>718</v>
      </c>
      <c r="S11" t="s">
        <v>719</v>
      </c>
      <c r="T11">
        <v>-76.94</v>
      </c>
      <c r="U11">
        <v>167.02</v>
      </c>
      <c r="V11" t="s">
        <v>716</v>
      </c>
      <c r="W11" t="s">
        <v>717</v>
      </c>
      <c r="X11" t="s">
        <v>713</v>
      </c>
      <c r="Y11" t="s">
        <v>713</v>
      </c>
      <c r="AA11" t="s">
        <v>714</v>
      </c>
      <c r="AB11" t="s">
        <v>714</v>
      </c>
      <c r="AC11" t="s">
        <v>718</v>
      </c>
    </row>
    <row r="12" spans="1:29" x14ac:dyDescent="0.25">
      <c r="A12">
        <v>2025</v>
      </c>
      <c r="B12">
        <v>4</v>
      </c>
      <c r="C12" t="s">
        <v>451</v>
      </c>
      <c r="D12" s="6">
        <v>2998.2686839243902</v>
      </c>
      <c r="E12" s="6">
        <v>847.33834295368604</v>
      </c>
      <c r="F12">
        <v>1795.56607390627</v>
      </c>
      <c r="G12">
        <v>1924.86554523002</v>
      </c>
      <c r="H12">
        <v>2848.9862571151898</v>
      </c>
      <c r="I12">
        <v>4572.7383544594904</v>
      </c>
      <c r="J12">
        <v>5026.8404245227703</v>
      </c>
      <c r="K12">
        <v>-1585.2728301402501</v>
      </c>
      <c r="L12">
        <v>-3866.7971425989899</v>
      </c>
      <c r="M12">
        <v>-3462.7704897434301</v>
      </c>
      <c r="N12">
        <v>-1615.3501162856301</v>
      </c>
      <c r="O12">
        <v>349.93194763483001</v>
      </c>
      <c r="P12">
        <v>840.46459934299901</v>
      </c>
      <c r="Q12">
        <v>0.91800000000000004</v>
      </c>
      <c r="R12" t="s">
        <v>452</v>
      </c>
      <c r="S12" t="s">
        <v>720</v>
      </c>
      <c r="T12">
        <v>-76.180000000000007</v>
      </c>
      <c r="U12">
        <v>168.43</v>
      </c>
      <c r="V12" t="s">
        <v>716</v>
      </c>
      <c r="W12" t="s">
        <v>717</v>
      </c>
      <c r="X12" t="s">
        <v>713</v>
      </c>
      <c r="Y12" t="s">
        <v>713</v>
      </c>
      <c r="AA12" t="s">
        <v>714</v>
      </c>
      <c r="AB12" t="s">
        <v>714</v>
      </c>
      <c r="AC12" t="s">
        <v>452</v>
      </c>
    </row>
    <row r="13" spans="1:29" x14ac:dyDescent="0.25">
      <c r="A13">
        <v>2025</v>
      </c>
      <c r="B13">
        <v>5</v>
      </c>
      <c r="C13" t="s">
        <v>364</v>
      </c>
      <c r="D13" s="6">
        <v>1715.3462213370599</v>
      </c>
      <c r="E13" s="6">
        <v>330.47912272201398</v>
      </c>
      <c r="F13">
        <v>1194.2688106688199</v>
      </c>
      <c r="G13">
        <v>1259.35369523129</v>
      </c>
      <c r="H13">
        <v>1673.44883946257</v>
      </c>
      <c r="I13">
        <v>2317.6986630404399</v>
      </c>
      <c r="J13">
        <v>2477.2888387214002</v>
      </c>
      <c r="K13">
        <v>1239.38472275035</v>
      </c>
      <c r="L13">
        <v>670.71482796688497</v>
      </c>
      <c r="M13">
        <v>749.38786029944697</v>
      </c>
      <c r="N13">
        <v>1202.7681427714899</v>
      </c>
      <c r="O13">
        <v>1863.4244180529599</v>
      </c>
      <c r="P13">
        <v>2025.1325596761801</v>
      </c>
      <c r="Q13">
        <v>0</v>
      </c>
      <c r="R13" t="s">
        <v>365</v>
      </c>
      <c r="S13" t="s">
        <v>721</v>
      </c>
      <c r="T13">
        <v>-77.459999999999994</v>
      </c>
      <c r="U13">
        <v>169.32</v>
      </c>
      <c r="V13" t="s">
        <v>716</v>
      </c>
      <c r="W13" t="s">
        <v>717</v>
      </c>
      <c r="X13" t="s">
        <v>713</v>
      </c>
      <c r="Y13" t="s">
        <v>713</v>
      </c>
      <c r="AA13" t="s">
        <v>714</v>
      </c>
      <c r="AB13" t="s">
        <v>714</v>
      </c>
      <c r="AC13" t="s">
        <v>365</v>
      </c>
    </row>
    <row r="14" spans="1:29" x14ac:dyDescent="0.25">
      <c r="A14">
        <v>2025</v>
      </c>
      <c r="B14">
        <v>6</v>
      </c>
      <c r="C14" t="s">
        <v>240</v>
      </c>
      <c r="D14" s="6">
        <v>12409.807796953</v>
      </c>
      <c r="E14" s="6">
        <v>2617.7321655516898</v>
      </c>
      <c r="F14">
        <v>8403.5565450478098</v>
      </c>
      <c r="G14">
        <v>8882.6334616899694</v>
      </c>
      <c r="H14">
        <v>12045.1664353125</v>
      </c>
      <c r="I14">
        <v>17171.653387886301</v>
      </c>
      <c r="J14">
        <v>18557.2587948609</v>
      </c>
      <c r="K14">
        <v>-16103.2247182587</v>
      </c>
      <c r="L14">
        <v>-28423.036707887801</v>
      </c>
      <c r="M14">
        <v>-26114.0142751889</v>
      </c>
      <c r="N14">
        <v>-15791.7559594291</v>
      </c>
      <c r="O14">
        <v>-7085.9588169262097</v>
      </c>
      <c r="P14">
        <v>-5454.4695914313097</v>
      </c>
      <c r="Q14">
        <v>0.99813333333333298</v>
      </c>
      <c r="R14" t="s">
        <v>241</v>
      </c>
      <c r="S14" t="s">
        <v>722</v>
      </c>
      <c r="T14">
        <v>-73.349999999999994</v>
      </c>
      <c r="U14">
        <v>169.61</v>
      </c>
      <c r="V14" t="s">
        <v>716</v>
      </c>
      <c r="W14" t="s">
        <v>717</v>
      </c>
      <c r="X14" t="s">
        <v>713</v>
      </c>
      <c r="Y14" t="s">
        <v>713</v>
      </c>
      <c r="AA14" t="s">
        <v>714</v>
      </c>
      <c r="AB14" t="s">
        <v>714</v>
      </c>
      <c r="AC14" t="s">
        <v>241</v>
      </c>
    </row>
    <row r="15" spans="1:29" x14ac:dyDescent="0.25">
      <c r="A15">
        <v>2025</v>
      </c>
      <c r="B15">
        <v>7</v>
      </c>
      <c r="C15" t="s">
        <v>538</v>
      </c>
      <c r="D15" s="6">
        <v>4049.6042319881399</v>
      </c>
      <c r="E15" s="6">
        <v>979.09588400158498</v>
      </c>
      <c r="F15">
        <v>2558.0271162680301</v>
      </c>
      <c r="G15">
        <v>2726.2506538815201</v>
      </c>
      <c r="H15">
        <v>3908.9409502940998</v>
      </c>
      <c r="I15">
        <v>5823.2645338436396</v>
      </c>
      <c r="J15">
        <v>6356.7522814844797</v>
      </c>
      <c r="K15">
        <v>-3181.1102544105802</v>
      </c>
      <c r="L15">
        <v>-7583.3682534760401</v>
      </c>
      <c r="M15">
        <v>-6640.0785673602304</v>
      </c>
      <c r="N15">
        <v>-3019.51544509008</v>
      </c>
      <c r="O15">
        <v>-226.120607797285</v>
      </c>
      <c r="P15">
        <v>355.09673090431301</v>
      </c>
      <c r="Q15">
        <v>0.96093333333333297</v>
      </c>
      <c r="R15" t="s">
        <v>539</v>
      </c>
      <c r="S15" t="s">
        <v>723</v>
      </c>
      <c r="T15">
        <v>-71.989999999999995</v>
      </c>
      <c r="U15">
        <v>170.59</v>
      </c>
      <c r="V15" t="s">
        <v>716</v>
      </c>
      <c r="W15" t="s">
        <v>717</v>
      </c>
      <c r="X15" t="s">
        <v>713</v>
      </c>
      <c r="Y15" t="s">
        <v>713</v>
      </c>
      <c r="AA15" t="s">
        <v>714</v>
      </c>
      <c r="AB15" t="s">
        <v>714</v>
      </c>
      <c r="AC15" t="s">
        <v>539</v>
      </c>
    </row>
    <row r="29" spans="7:7" x14ac:dyDescent="0.25">
      <c r="G29" s="1"/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BE26-0FDA-4265-8DC7-E949250DB4D2}">
  <dimension ref="A1:J11"/>
  <sheetViews>
    <sheetView tabSelected="1" workbookViewId="0">
      <selection activeCell="A10" sqref="A10:XFD11"/>
    </sheetView>
  </sheetViews>
  <sheetFormatPr defaultRowHeight="15" x14ac:dyDescent="0.25"/>
  <cols>
    <col min="1" max="1" width="18.140625" customWidth="1"/>
    <col min="6" max="6" width="10.42578125" bestFit="1" customWidth="1"/>
    <col min="9" max="9" width="28.42578125" customWidth="1"/>
  </cols>
  <sheetData>
    <row r="1" spans="1:10" x14ac:dyDescent="0.25">
      <c r="A1" t="s">
        <v>1056</v>
      </c>
      <c r="B1" t="s">
        <v>68</v>
      </c>
      <c r="C1" t="s">
        <v>69</v>
      </c>
      <c r="D1" s="6" t="s">
        <v>1057</v>
      </c>
      <c r="E1" t="s">
        <v>75</v>
      </c>
      <c r="F1" t="s">
        <v>72</v>
      </c>
      <c r="G1" t="s">
        <v>1058</v>
      </c>
      <c r="H1" t="s">
        <v>1059</v>
      </c>
      <c r="I1" t="s">
        <v>1060</v>
      </c>
      <c r="J1" t="s">
        <v>771</v>
      </c>
    </row>
    <row r="2" spans="1:10" x14ac:dyDescent="0.25">
      <c r="A2" t="s">
        <v>722</v>
      </c>
      <c r="B2" t="s">
        <v>240</v>
      </c>
      <c r="C2" t="s">
        <v>241</v>
      </c>
      <c r="D2" s="14">
        <v>21242</v>
      </c>
      <c r="E2">
        <v>2024</v>
      </c>
      <c r="F2" s="1">
        <v>45617</v>
      </c>
      <c r="G2" s="15" t="s">
        <v>1061</v>
      </c>
      <c r="H2" t="s">
        <v>1062</v>
      </c>
      <c r="I2" t="s">
        <v>1063</v>
      </c>
    </row>
    <row r="3" spans="1:10" x14ac:dyDescent="0.25">
      <c r="A3" t="s">
        <v>722</v>
      </c>
      <c r="B3" t="s">
        <v>240</v>
      </c>
      <c r="C3" t="s">
        <v>241</v>
      </c>
      <c r="D3" s="14">
        <v>6686</v>
      </c>
      <c r="E3">
        <v>2025</v>
      </c>
      <c r="F3" s="1">
        <v>45997</v>
      </c>
      <c r="G3" s="15" t="s">
        <v>1061</v>
      </c>
      <c r="H3" t="s">
        <v>1062</v>
      </c>
      <c r="I3" t="s">
        <v>1063</v>
      </c>
    </row>
    <row r="4" spans="1:10" x14ac:dyDescent="0.25">
      <c r="A4" t="s">
        <v>721</v>
      </c>
      <c r="B4" t="s">
        <v>364</v>
      </c>
      <c r="C4" t="s">
        <v>365</v>
      </c>
      <c r="D4" s="14">
        <v>2773</v>
      </c>
      <c r="E4">
        <v>2024</v>
      </c>
      <c r="F4" s="1">
        <v>45617</v>
      </c>
      <c r="G4" s="15" t="s">
        <v>1061</v>
      </c>
      <c r="H4" t="s">
        <v>1062</v>
      </c>
      <c r="I4" t="s">
        <v>1064</v>
      </c>
      <c r="J4" t="s">
        <v>1065</v>
      </c>
    </row>
    <row r="5" spans="1:10" x14ac:dyDescent="0.25">
      <c r="A5" t="s">
        <v>721</v>
      </c>
      <c r="B5" t="s">
        <v>364</v>
      </c>
      <c r="C5" t="s">
        <v>365</v>
      </c>
      <c r="D5" s="14">
        <v>1075</v>
      </c>
      <c r="E5">
        <v>2024</v>
      </c>
      <c r="F5" s="1">
        <v>45617</v>
      </c>
      <c r="G5" s="15" t="s">
        <v>1061</v>
      </c>
      <c r="H5" t="s">
        <v>1066</v>
      </c>
      <c r="I5" t="s">
        <v>1064</v>
      </c>
      <c r="J5" t="s">
        <v>1065</v>
      </c>
    </row>
    <row r="6" spans="1:10" x14ac:dyDescent="0.25">
      <c r="A6" t="s">
        <v>721</v>
      </c>
      <c r="B6" t="s">
        <v>364</v>
      </c>
      <c r="C6" t="s">
        <v>365</v>
      </c>
      <c r="D6" s="14">
        <v>2782</v>
      </c>
      <c r="E6">
        <v>2025</v>
      </c>
      <c r="F6" s="1">
        <v>45983</v>
      </c>
      <c r="G6" s="15" t="s">
        <v>1061</v>
      </c>
      <c r="H6" t="s">
        <v>1062</v>
      </c>
      <c r="I6" t="s">
        <v>1064</v>
      </c>
      <c r="J6" t="s">
        <v>1067</v>
      </c>
    </row>
    <row r="7" spans="1:10" x14ac:dyDescent="0.25">
      <c r="A7" t="s">
        <v>721</v>
      </c>
      <c r="B7" t="s">
        <v>364</v>
      </c>
      <c r="C7" t="s">
        <v>365</v>
      </c>
      <c r="D7" s="14">
        <v>627</v>
      </c>
      <c r="E7">
        <v>2025</v>
      </c>
      <c r="F7" s="1">
        <v>45983</v>
      </c>
      <c r="G7" s="15" t="s">
        <v>1061</v>
      </c>
      <c r="H7" t="s">
        <v>1066</v>
      </c>
      <c r="I7" t="s">
        <v>1064</v>
      </c>
      <c r="J7" t="s">
        <v>1067</v>
      </c>
    </row>
    <row r="8" spans="1:10" x14ac:dyDescent="0.25">
      <c r="A8" t="s">
        <v>1068</v>
      </c>
      <c r="B8" t="s">
        <v>538</v>
      </c>
      <c r="C8" t="s">
        <v>539</v>
      </c>
      <c r="D8" s="14">
        <v>7736</v>
      </c>
      <c r="E8">
        <v>2025</v>
      </c>
      <c r="F8" s="1">
        <v>45974</v>
      </c>
      <c r="G8" s="15" t="s">
        <v>1061</v>
      </c>
      <c r="H8" t="s">
        <v>1062</v>
      </c>
      <c r="I8" t="s">
        <v>1063</v>
      </c>
      <c r="J8" t="s">
        <v>1069</v>
      </c>
    </row>
    <row r="9" spans="1:10" x14ac:dyDescent="0.25">
      <c r="A9" t="s">
        <v>1068</v>
      </c>
      <c r="B9" t="s">
        <v>538</v>
      </c>
      <c r="C9" t="s">
        <v>539</v>
      </c>
      <c r="D9" s="14">
        <v>7397</v>
      </c>
      <c r="E9">
        <v>2024</v>
      </c>
      <c r="F9" s="1">
        <v>45617</v>
      </c>
      <c r="G9" s="15" t="s">
        <v>1061</v>
      </c>
      <c r="H9" t="s">
        <v>1062</v>
      </c>
      <c r="I9" t="s">
        <v>1063</v>
      </c>
      <c r="J9" t="s">
        <v>1069</v>
      </c>
    </row>
    <row r="10" spans="1:10" x14ac:dyDescent="0.25">
      <c r="A10" t="s">
        <v>1070</v>
      </c>
      <c r="B10" t="s">
        <v>623</v>
      </c>
      <c r="C10" t="s">
        <v>624</v>
      </c>
      <c r="D10" s="14">
        <v>13803</v>
      </c>
      <c r="E10">
        <v>2024</v>
      </c>
      <c r="F10" s="1">
        <v>45611</v>
      </c>
      <c r="G10" s="15" t="s">
        <v>1061</v>
      </c>
      <c r="H10" t="s">
        <v>1062</v>
      </c>
      <c r="I10" t="s">
        <v>1063</v>
      </c>
      <c r="J10" t="s">
        <v>1069</v>
      </c>
    </row>
    <row r="11" spans="1:10" x14ac:dyDescent="0.25">
      <c r="A11" t="s">
        <v>1070</v>
      </c>
      <c r="B11" t="s">
        <v>623</v>
      </c>
      <c r="C11" t="s">
        <v>624</v>
      </c>
      <c r="D11" s="14">
        <v>14297</v>
      </c>
      <c r="E11">
        <v>2025</v>
      </c>
      <c r="F11" s="1">
        <v>45970</v>
      </c>
      <c r="G11" s="15" t="s">
        <v>1061</v>
      </c>
      <c r="H11" t="s">
        <v>1062</v>
      </c>
      <c r="I11" t="s">
        <v>1063</v>
      </c>
      <c r="J11" t="s">
        <v>1069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8BE2-9780-4E84-874C-F2C63103D06C}">
  <dimension ref="A1:Z14"/>
  <sheetViews>
    <sheetView workbookViewId="0">
      <selection activeCell="H20" sqref="H20"/>
    </sheetView>
  </sheetViews>
  <sheetFormatPr defaultRowHeight="15" x14ac:dyDescent="0.25"/>
  <cols>
    <col min="3" max="3" width="20.85546875" customWidth="1"/>
    <col min="10" max="10" width="25.5703125" customWidth="1"/>
  </cols>
  <sheetData>
    <row r="1" spans="1:26" x14ac:dyDescent="0.25">
      <c r="A1" t="s">
        <v>769</v>
      </c>
      <c r="B1" t="s">
        <v>69</v>
      </c>
      <c r="C1" t="s">
        <v>71</v>
      </c>
      <c r="D1" t="s">
        <v>77</v>
      </c>
      <c r="E1" t="s">
        <v>78</v>
      </c>
      <c r="F1" t="s">
        <v>72</v>
      </c>
      <c r="G1" t="s">
        <v>94</v>
      </c>
      <c r="H1" t="s">
        <v>80</v>
      </c>
      <c r="I1" t="s">
        <v>770</v>
      </c>
      <c r="J1" t="s">
        <v>771</v>
      </c>
      <c r="K1" t="s">
        <v>772</v>
      </c>
      <c r="L1" t="s">
        <v>763</v>
      </c>
      <c r="M1" t="s">
        <v>92</v>
      </c>
      <c r="N1" t="s">
        <v>773</v>
      </c>
      <c r="O1" t="s">
        <v>774</v>
      </c>
      <c r="P1" t="s">
        <v>96</v>
      </c>
      <c r="Q1" t="s">
        <v>75</v>
      </c>
      <c r="R1" t="s">
        <v>73</v>
      </c>
      <c r="S1" t="s">
        <v>74</v>
      </c>
      <c r="T1" t="s">
        <v>775</v>
      </c>
      <c r="U1" t="s">
        <v>764</v>
      </c>
      <c r="V1" t="s">
        <v>765</v>
      </c>
      <c r="W1" t="s">
        <v>766</v>
      </c>
      <c r="X1" t="s">
        <v>740</v>
      </c>
      <c r="Y1" t="s">
        <v>741</v>
      </c>
      <c r="Z1" t="s">
        <v>742</v>
      </c>
    </row>
    <row r="2" spans="1:26" x14ac:dyDescent="0.25">
      <c r="A2" t="s">
        <v>776</v>
      </c>
      <c r="B2" t="s">
        <v>241</v>
      </c>
      <c r="C2" t="s">
        <v>751</v>
      </c>
      <c r="D2">
        <v>-73.348299999999995</v>
      </c>
      <c r="E2">
        <v>169.6242</v>
      </c>
      <c r="F2" s="1">
        <v>45925</v>
      </c>
      <c r="G2" s="3">
        <v>7.2569444444444443E-3</v>
      </c>
      <c r="H2">
        <v>5566.7639849999996</v>
      </c>
      <c r="I2">
        <v>3</v>
      </c>
      <c r="J2" t="s">
        <v>777</v>
      </c>
      <c r="K2" t="s">
        <v>778</v>
      </c>
      <c r="L2" t="s">
        <v>749</v>
      </c>
      <c r="M2" s="2">
        <v>45925.006944444445</v>
      </c>
      <c r="N2" s="1">
        <v>45925</v>
      </c>
      <c r="O2" t="s">
        <v>779</v>
      </c>
      <c r="P2" s="2">
        <v>45925.006944444445</v>
      </c>
      <c r="Q2">
        <v>2025</v>
      </c>
      <c r="R2">
        <v>9</v>
      </c>
      <c r="S2">
        <v>25</v>
      </c>
      <c r="T2">
        <v>268</v>
      </c>
      <c r="U2" t="s">
        <v>714</v>
      </c>
      <c r="V2" t="s">
        <v>750</v>
      </c>
      <c r="W2">
        <v>20231</v>
      </c>
      <c r="X2" t="s">
        <v>711</v>
      </c>
      <c r="Y2" t="s">
        <v>717</v>
      </c>
      <c r="Z2" t="s">
        <v>713</v>
      </c>
    </row>
    <row r="3" spans="1:26" x14ac:dyDescent="0.25">
      <c r="A3" t="s">
        <v>776</v>
      </c>
      <c r="B3" t="s">
        <v>241</v>
      </c>
      <c r="C3" t="s">
        <v>751</v>
      </c>
      <c r="D3">
        <v>-73.348299999999995</v>
      </c>
      <c r="E3">
        <v>169.6242</v>
      </c>
      <c r="F3" s="1">
        <v>45925</v>
      </c>
      <c r="G3" s="3">
        <v>7.2569444444444443E-3</v>
      </c>
      <c r="H3">
        <v>11426.245349999999</v>
      </c>
      <c r="I3">
        <v>3</v>
      </c>
      <c r="J3" t="s">
        <v>792</v>
      </c>
      <c r="K3" t="s">
        <v>778</v>
      </c>
      <c r="L3" t="s">
        <v>749</v>
      </c>
      <c r="M3" s="2">
        <v>45925.006944444445</v>
      </c>
      <c r="N3" s="1">
        <v>45925</v>
      </c>
      <c r="O3" t="s">
        <v>779</v>
      </c>
      <c r="P3" s="2">
        <v>45925.006944444445</v>
      </c>
      <c r="Q3">
        <v>2025</v>
      </c>
      <c r="R3">
        <v>9</v>
      </c>
      <c r="S3">
        <v>25</v>
      </c>
      <c r="T3">
        <v>268</v>
      </c>
      <c r="U3" t="s">
        <v>714</v>
      </c>
      <c r="V3" t="s">
        <v>750</v>
      </c>
      <c r="W3">
        <v>20236</v>
      </c>
      <c r="X3" t="s">
        <v>752</v>
      </c>
      <c r="Y3" t="s">
        <v>717</v>
      </c>
      <c r="Z3" t="s">
        <v>713</v>
      </c>
    </row>
    <row r="4" spans="1:26" ht="15.75" customHeight="1" x14ac:dyDescent="0.25">
      <c r="A4" t="s">
        <v>776</v>
      </c>
      <c r="B4" t="s">
        <v>241</v>
      </c>
      <c r="C4" t="s">
        <v>751</v>
      </c>
      <c r="D4">
        <v>-73.348299999999995</v>
      </c>
      <c r="E4">
        <v>169.6242</v>
      </c>
      <c r="F4" s="1">
        <v>45925</v>
      </c>
      <c r="G4" s="3">
        <v>7.2569444444444443E-3</v>
      </c>
      <c r="H4">
        <v>16993.009330000001</v>
      </c>
      <c r="I4">
        <v>3</v>
      </c>
      <c r="J4" t="s">
        <v>796</v>
      </c>
      <c r="K4" t="s">
        <v>778</v>
      </c>
      <c r="L4" t="s">
        <v>749</v>
      </c>
      <c r="M4" s="2">
        <v>45925.006944444445</v>
      </c>
      <c r="N4" s="1">
        <v>45925</v>
      </c>
      <c r="O4" t="s">
        <v>779</v>
      </c>
      <c r="P4" s="2">
        <v>45925.006944444445</v>
      </c>
      <c r="Q4">
        <v>2025</v>
      </c>
      <c r="R4">
        <v>9</v>
      </c>
      <c r="S4">
        <v>25</v>
      </c>
      <c r="T4">
        <v>268</v>
      </c>
      <c r="U4" t="s">
        <v>714</v>
      </c>
      <c r="V4" t="s">
        <v>750</v>
      </c>
      <c r="W4">
        <v>20234</v>
      </c>
      <c r="X4" t="s">
        <v>755</v>
      </c>
      <c r="Y4" t="s">
        <v>717</v>
      </c>
      <c r="Z4" t="s">
        <v>713</v>
      </c>
    </row>
    <row r="5" spans="1:26" x14ac:dyDescent="0.25">
      <c r="A5" t="s">
        <v>451</v>
      </c>
      <c r="B5" t="s">
        <v>452</v>
      </c>
      <c r="C5" t="s">
        <v>759</v>
      </c>
      <c r="D5">
        <v>-76.177379999999999</v>
      </c>
      <c r="E5">
        <v>168.394475</v>
      </c>
      <c r="F5" s="1">
        <v>45954</v>
      </c>
      <c r="G5" s="3">
        <v>0.99956018518518519</v>
      </c>
      <c r="H5">
        <v>2934.9397570000001</v>
      </c>
      <c r="I5">
        <v>3</v>
      </c>
      <c r="J5" t="s">
        <v>799</v>
      </c>
      <c r="K5" t="s">
        <v>778</v>
      </c>
      <c r="L5" t="s">
        <v>749</v>
      </c>
      <c r="M5" s="2">
        <v>45954.999305555553</v>
      </c>
      <c r="N5" s="1">
        <v>45954</v>
      </c>
      <c r="O5" t="s">
        <v>800</v>
      </c>
      <c r="P5" s="2">
        <v>45954.999305555553</v>
      </c>
      <c r="Q5">
        <v>2025</v>
      </c>
      <c r="R5">
        <v>10</v>
      </c>
      <c r="S5">
        <v>24</v>
      </c>
      <c r="T5">
        <v>297</v>
      </c>
      <c r="U5" t="s">
        <v>714</v>
      </c>
      <c r="V5" t="s">
        <v>750</v>
      </c>
      <c r="W5">
        <v>20235</v>
      </c>
      <c r="X5" t="s">
        <v>768</v>
      </c>
      <c r="Y5" t="s">
        <v>717</v>
      </c>
      <c r="Z5" t="s">
        <v>713</v>
      </c>
    </row>
    <row r="6" spans="1:26" x14ac:dyDescent="0.25">
      <c r="A6" t="s">
        <v>813</v>
      </c>
      <c r="B6" t="s">
        <v>709</v>
      </c>
      <c r="C6" t="s">
        <v>756</v>
      </c>
      <c r="D6">
        <v>-77.151399999999995</v>
      </c>
      <c r="E6">
        <v>-157.58410000000001</v>
      </c>
      <c r="F6" s="1">
        <v>45929</v>
      </c>
      <c r="G6" s="3">
        <v>0.9303703703703704</v>
      </c>
      <c r="H6">
        <v>26896.498479999998</v>
      </c>
      <c r="I6">
        <v>3</v>
      </c>
      <c r="K6" t="s">
        <v>778</v>
      </c>
      <c r="L6" t="s">
        <v>749</v>
      </c>
      <c r="M6" s="2">
        <v>45929.929861111108</v>
      </c>
      <c r="N6" s="1">
        <v>45929</v>
      </c>
      <c r="O6" t="s">
        <v>814</v>
      </c>
      <c r="P6" s="2">
        <v>45929.929861111108</v>
      </c>
      <c r="Q6">
        <v>2025</v>
      </c>
      <c r="R6">
        <v>9</v>
      </c>
      <c r="S6">
        <v>29</v>
      </c>
      <c r="T6">
        <v>272</v>
      </c>
      <c r="U6" t="s">
        <v>714</v>
      </c>
      <c r="V6" t="s">
        <v>750</v>
      </c>
      <c r="W6">
        <v>20230</v>
      </c>
      <c r="X6" t="s">
        <v>755</v>
      </c>
      <c r="Y6" t="s">
        <v>717</v>
      </c>
      <c r="Z6" t="s">
        <v>713</v>
      </c>
    </row>
    <row r="7" spans="1:26" x14ac:dyDescent="0.25">
      <c r="A7" t="s">
        <v>825</v>
      </c>
      <c r="B7" t="s">
        <v>718</v>
      </c>
      <c r="C7" t="s">
        <v>748</v>
      </c>
      <c r="D7">
        <v>-76.927572999999995</v>
      </c>
      <c r="E7">
        <v>166.92477700000001</v>
      </c>
      <c r="F7" s="1">
        <v>45933</v>
      </c>
      <c r="G7" s="3">
        <v>1.4918981481481481E-2</v>
      </c>
      <c r="H7">
        <v>278.515083</v>
      </c>
      <c r="I7">
        <v>2</v>
      </c>
      <c r="J7" t="s">
        <v>826</v>
      </c>
      <c r="K7" t="s">
        <v>778</v>
      </c>
      <c r="L7" t="s">
        <v>749</v>
      </c>
      <c r="M7" s="2">
        <v>45933.01458333333</v>
      </c>
      <c r="N7" s="1">
        <v>45933</v>
      </c>
      <c r="O7" t="s">
        <v>827</v>
      </c>
      <c r="P7" s="2">
        <v>45933.01458333333</v>
      </c>
      <c r="Q7">
        <v>2025</v>
      </c>
      <c r="R7">
        <v>10</v>
      </c>
      <c r="S7">
        <v>3</v>
      </c>
      <c r="T7">
        <v>276</v>
      </c>
      <c r="U7" t="s">
        <v>714</v>
      </c>
      <c r="V7" t="s">
        <v>757</v>
      </c>
      <c r="W7">
        <v>1651</v>
      </c>
      <c r="X7" t="s">
        <v>758</v>
      </c>
      <c r="Y7" t="s">
        <v>712</v>
      </c>
      <c r="Z7" t="s">
        <v>713</v>
      </c>
    </row>
    <row r="8" spans="1:26" x14ac:dyDescent="0.25">
      <c r="A8" t="s">
        <v>838</v>
      </c>
      <c r="B8" t="s">
        <v>539</v>
      </c>
      <c r="C8" t="s">
        <v>761</v>
      </c>
      <c r="D8">
        <v>-71.983065999999994</v>
      </c>
      <c r="E8">
        <v>170.60781700000001</v>
      </c>
      <c r="F8" s="1">
        <v>45952</v>
      </c>
      <c r="G8" s="3">
        <v>0.89525462962962965</v>
      </c>
      <c r="H8">
        <v>3743.1673679999999</v>
      </c>
      <c r="I8">
        <v>3</v>
      </c>
      <c r="K8" t="s">
        <v>778</v>
      </c>
      <c r="L8" t="s">
        <v>749</v>
      </c>
      <c r="M8" s="2">
        <v>45952.895138888889</v>
      </c>
      <c r="N8" s="1">
        <v>45952</v>
      </c>
      <c r="O8" t="s">
        <v>839</v>
      </c>
      <c r="P8" s="2">
        <v>45952.895138888889</v>
      </c>
      <c r="Q8">
        <v>2025</v>
      </c>
      <c r="R8">
        <v>10</v>
      </c>
      <c r="S8">
        <v>22</v>
      </c>
      <c r="T8">
        <v>295</v>
      </c>
      <c r="U8" t="s">
        <v>714</v>
      </c>
      <c r="V8" t="s">
        <v>750</v>
      </c>
      <c r="W8">
        <v>20231</v>
      </c>
      <c r="X8" t="s">
        <v>760</v>
      </c>
      <c r="Y8" t="s">
        <v>717</v>
      </c>
      <c r="Z8" t="s">
        <v>713</v>
      </c>
    </row>
    <row r="9" spans="1:26" x14ac:dyDescent="0.25">
      <c r="A9" t="s">
        <v>851</v>
      </c>
      <c r="B9" t="s">
        <v>624</v>
      </c>
      <c r="C9" t="s">
        <v>762</v>
      </c>
      <c r="D9">
        <v>-74.645037000000002</v>
      </c>
      <c r="E9">
        <v>165.38853700000001</v>
      </c>
      <c r="F9" s="1">
        <v>45962</v>
      </c>
      <c r="G9" s="3">
        <v>0.86274305555555553</v>
      </c>
      <c r="H9">
        <v>6302.4041880000004</v>
      </c>
      <c r="I9">
        <v>3</v>
      </c>
      <c r="J9" t="s">
        <v>852</v>
      </c>
      <c r="K9" t="s">
        <v>853</v>
      </c>
      <c r="L9" t="s">
        <v>749</v>
      </c>
      <c r="M9" s="2">
        <v>45962.862500000003</v>
      </c>
      <c r="N9" s="1">
        <v>45962</v>
      </c>
      <c r="O9" t="s">
        <v>854</v>
      </c>
      <c r="P9" s="2">
        <v>45962.862500000003</v>
      </c>
      <c r="Q9">
        <v>2025</v>
      </c>
      <c r="R9">
        <v>11</v>
      </c>
      <c r="S9">
        <v>1</v>
      </c>
      <c r="T9">
        <v>305</v>
      </c>
      <c r="U9" t="s">
        <v>714</v>
      </c>
      <c r="V9" t="s">
        <v>750</v>
      </c>
      <c r="W9">
        <v>20231</v>
      </c>
      <c r="X9" t="s">
        <v>755</v>
      </c>
      <c r="Y9" t="s">
        <v>717</v>
      </c>
      <c r="Z9" t="s">
        <v>713</v>
      </c>
    </row>
    <row r="10" spans="1:26" x14ac:dyDescent="0.25">
      <c r="A10" t="s">
        <v>364</v>
      </c>
      <c r="B10" t="s">
        <v>365</v>
      </c>
      <c r="C10" t="s">
        <v>754</v>
      </c>
      <c r="D10">
        <v>-77.448746</v>
      </c>
      <c r="E10">
        <v>169.277041</v>
      </c>
      <c r="F10" s="1">
        <v>45940</v>
      </c>
      <c r="G10" s="3">
        <v>0.86831018518518521</v>
      </c>
      <c r="H10">
        <v>2569.8765629999998</v>
      </c>
      <c r="I10">
        <v>3</v>
      </c>
      <c r="J10" t="s">
        <v>852</v>
      </c>
      <c r="K10" t="s">
        <v>853</v>
      </c>
      <c r="L10" t="s">
        <v>749</v>
      </c>
      <c r="M10" s="2">
        <v>45940.868055555555</v>
      </c>
      <c r="N10" s="1">
        <v>45940</v>
      </c>
      <c r="O10" t="s">
        <v>867</v>
      </c>
      <c r="P10" s="2">
        <v>45940.868055555555</v>
      </c>
      <c r="Q10">
        <v>2025</v>
      </c>
      <c r="R10">
        <v>10</v>
      </c>
      <c r="S10">
        <v>10</v>
      </c>
      <c r="T10">
        <v>283</v>
      </c>
      <c r="U10" t="s">
        <v>714</v>
      </c>
      <c r="V10" t="s">
        <v>750</v>
      </c>
      <c r="W10">
        <v>20231</v>
      </c>
      <c r="X10" t="s">
        <v>755</v>
      </c>
      <c r="Y10" t="s">
        <v>717</v>
      </c>
      <c r="Z10" t="s">
        <v>713</v>
      </c>
    </row>
    <row r="11" spans="1:26" x14ac:dyDescent="0.25">
      <c r="A11" t="s">
        <v>776</v>
      </c>
      <c r="B11" t="s">
        <v>241</v>
      </c>
      <c r="C11" t="s">
        <v>877</v>
      </c>
      <c r="D11">
        <v>-73.348299999999995</v>
      </c>
      <c r="E11">
        <v>169.6242</v>
      </c>
      <c r="F11" s="1">
        <v>45577</v>
      </c>
      <c r="G11" s="3">
        <v>0.86307870370370365</v>
      </c>
      <c r="H11">
        <v>15257.03</v>
      </c>
      <c r="I11">
        <v>3</v>
      </c>
      <c r="K11" t="s">
        <v>853</v>
      </c>
      <c r="L11" t="s">
        <v>749</v>
      </c>
      <c r="M11" s="2">
        <v>45577.862500000003</v>
      </c>
      <c r="N11" s="1">
        <v>45577</v>
      </c>
      <c r="O11" t="s">
        <v>878</v>
      </c>
      <c r="P11" s="2">
        <v>45577.862500000003</v>
      </c>
      <c r="Q11">
        <v>2024</v>
      </c>
      <c r="R11">
        <v>10</v>
      </c>
      <c r="S11">
        <v>12</v>
      </c>
      <c r="T11">
        <v>286</v>
      </c>
      <c r="U11" t="s">
        <v>714</v>
      </c>
      <c r="V11" t="s">
        <v>750</v>
      </c>
      <c r="W11">
        <v>20232</v>
      </c>
      <c r="X11" t="s">
        <v>768</v>
      </c>
      <c r="Y11" t="s">
        <v>717</v>
      </c>
      <c r="Z11" t="s">
        <v>713</v>
      </c>
    </row>
    <row r="12" spans="1:26" x14ac:dyDescent="0.25">
      <c r="A12" t="s">
        <v>813</v>
      </c>
      <c r="B12" t="s">
        <v>709</v>
      </c>
      <c r="C12" t="s">
        <v>879</v>
      </c>
      <c r="D12">
        <v>-77.151399999999995</v>
      </c>
      <c r="E12">
        <v>-157.58410000000001</v>
      </c>
      <c r="F12" s="1">
        <v>45583</v>
      </c>
      <c r="G12" s="3">
        <v>0.78289351851851852</v>
      </c>
      <c r="H12">
        <v>18804.98835</v>
      </c>
      <c r="I12">
        <v>3</v>
      </c>
      <c r="K12" t="s">
        <v>853</v>
      </c>
      <c r="L12" t="s">
        <v>749</v>
      </c>
      <c r="M12" s="2">
        <v>45583.782638888886</v>
      </c>
      <c r="N12" s="1">
        <v>45583</v>
      </c>
      <c r="O12" t="s">
        <v>880</v>
      </c>
      <c r="P12" s="2">
        <v>45583.782638888886</v>
      </c>
      <c r="Q12">
        <v>2024</v>
      </c>
      <c r="R12">
        <v>10</v>
      </c>
      <c r="S12">
        <v>18</v>
      </c>
      <c r="T12">
        <v>292</v>
      </c>
      <c r="U12" t="s">
        <v>714</v>
      </c>
      <c r="V12" t="s">
        <v>750</v>
      </c>
      <c r="W12">
        <v>20233</v>
      </c>
      <c r="X12" t="s">
        <v>752</v>
      </c>
      <c r="Y12" t="s">
        <v>717</v>
      </c>
      <c r="Z12" t="s">
        <v>713</v>
      </c>
    </row>
    <row r="13" spans="1:26" x14ac:dyDescent="0.25">
      <c r="A13" t="s">
        <v>838</v>
      </c>
      <c r="B13" t="s">
        <v>539</v>
      </c>
      <c r="C13" t="s">
        <v>881</v>
      </c>
      <c r="D13">
        <v>-71.983065999999994</v>
      </c>
      <c r="E13">
        <v>170.60781700000001</v>
      </c>
      <c r="F13" s="1">
        <v>45576</v>
      </c>
      <c r="G13" s="3">
        <v>0.88756944444444441</v>
      </c>
      <c r="H13">
        <v>6321.3029999999999</v>
      </c>
      <c r="I13">
        <v>3</v>
      </c>
      <c r="K13" t="s">
        <v>853</v>
      </c>
      <c r="L13" t="s">
        <v>749</v>
      </c>
      <c r="M13" s="2">
        <v>45576.887499999997</v>
      </c>
      <c r="N13" s="1">
        <v>45576</v>
      </c>
      <c r="O13" t="s">
        <v>882</v>
      </c>
      <c r="P13" s="2">
        <v>45576.887499999997</v>
      </c>
      <c r="Q13">
        <v>2024</v>
      </c>
      <c r="R13">
        <v>10</v>
      </c>
      <c r="S13">
        <v>11</v>
      </c>
      <c r="T13">
        <v>285</v>
      </c>
      <c r="U13" t="s">
        <v>714</v>
      </c>
      <c r="V13" t="s">
        <v>750</v>
      </c>
      <c r="W13">
        <v>20234</v>
      </c>
      <c r="X13" t="s">
        <v>1054</v>
      </c>
      <c r="Y13" t="s">
        <v>717</v>
      </c>
      <c r="Z13" t="s">
        <v>713</v>
      </c>
    </row>
    <row r="14" spans="1:26" x14ac:dyDescent="0.25">
      <c r="A14" t="s">
        <v>851</v>
      </c>
      <c r="B14" t="s">
        <v>624</v>
      </c>
      <c r="C14" t="s">
        <v>883</v>
      </c>
      <c r="D14">
        <v>-74.645037000000002</v>
      </c>
      <c r="E14">
        <v>165.38853700000001</v>
      </c>
      <c r="F14" s="1">
        <v>45592</v>
      </c>
      <c r="G14" s="3">
        <v>0.87834490740740745</v>
      </c>
      <c r="H14">
        <v>8970.4490000000005</v>
      </c>
      <c r="I14">
        <v>3</v>
      </c>
      <c r="K14" t="s">
        <v>853</v>
      </c>
      <c r="L14" t="s">
        <v>749</v>
      </c>
      <c r="M14" s="2">
        <v>45592.87777777778</v>
      </c>
      <c r="N14" s="1">
        <v>45592</v>
      </c>
      <c r="O14" t="s">
        <v>884</v>
      </c>
      <c r="P14" s="2">
        <v>45592.87777777778</v>
      </c>
      <c r="Q14">
        <v>2024</v>
      </c>
      <c r="R14">
        <v>10</v>
      </c>
      <c r="S14">
        <v>27</v>
      </c>
      <c r="T14">
        <v>301</v>
      </c>
      <c r="U14" t="s">
        <v>714</v>
      </c>
      <c r="V14" t="s">
        <v>750</v>
      </c>
      <c r="W14">
        <v>20235</v>
      </c>
      <c r="X14" t="s">
        <v>1055</v>
      </c>
      <c r="Y14" t="s">
        <v>717</v>
      </c>
      <c r="Z14" t="s">
        <v>713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176D-2B01-4E9F-8E8C-0007B7C29B77}">
  <dimension ref="A1:AI14"/>
  <sheetViews>
    <sheetView workbookViewId="0">
      <selection activeCell="Z10" sqref="Z10"/>
    </sheetView>
  </sheetViews>
  <sheetFormatPr defaultRowHeight="15" x14ac:dyDescent="0.25"/>
  <cols>
    <col min="27" max="27" width="9.140625" style="6"/>
    <col min="34" max="34" width="9.140625" style="6"/>
  </cols>
  <sheetData>
    <row r="1" spans="1:35" x14ac:dyDescent="0.25">
      <c r="A1" t="s">
        <v>769</v>
      </c>
      <c r="B1" t="s">
        <v>71</v>
      </c>
      <c r="C1" t="s">
        <v>77</v>
      </c>
      <c r="D1" t="s">
        <v>78</v>
      </c>
      <c r="E1" t="s">
        <v>72</v>
      </c>
      <c r="F1" t="s">
        <v>94</v>
      </c>
      <c r="G1" t="s">
        <v>80</v>
      </c>
      <c r="H1" t="s">
        <v>770</v>
      </c>
      <c r="I1" t="s">
        <v>771</v>
      </c>
      <c r="J1" t="s">
        <v>772</v>
      </c>
      <c r="K1" t="s">
        <v>92</v>
      </c>
      <c r="L1" t="s">
        <v>773</v>
      </c>
      <c r="M1" t="s">
        <v>774</v>
      </c>
      <c r="N1" t="s">
        <v>96</v>
      </c>
      <c r="O1" t="s">
        <v>75</v>
      </c>
      <c r="P1" t="s">
        <v>73</v>
      </c>
      <c r="Q1" t="s">
        <v>74</v>
      </c>
      <c r="R1" t="s">
        <v>775</v>
      </c>
      <c r="S1" t="s">
        <v>97</v>
      </c>
      <c r="T1" t="s">
        <v>98</v>
      </c>
      <c r="U1" t="s">
        <v>101</v>
      </c>
      <c r="V1" t="s">
        <v>99</v>
      </c>
      <c r="W1" t="s">
        <v>102</v>
      </c>
      <c r="X1" t="s">
        <v>103</v>
      </c>
      <c r="Y1" t="s">
        <v>100</v>
      </c>
      <c r="Z1" t="s">
        <v>104</v>
      </c>
      <c r="AA1" s="6" t="s">
        <v>105</v>
      </c>
      <c r="AB1" t="s">
        <v>106</v>
      </c>
      <c r="AC1" t="s">
        <v>107</v>
      </c>
      <c r="AD1" t="s">
        <v>109</v>
      </c>
      <c r="AE1" t="s">
        <v>108</v>
      </c>
      <c r="AF1" t="s">
        <v>897</v>
      </c>
      <c r="AG1" t="s">
        <v>898</v>
      </c>
      <c r="AH1" s="6" t="s">
        <v>1083</v>
      </c>
      <c r="AI1" t="s">
        <v>110</v>
      </c>
    </row>
    <row r="2" spans="1:35" x14ac:dyDescent="0.25">
      <c r="A2" t="s">
        <v>776</v>
      </c>
      <c r="B2" t="s">
        <v>751</v>
      </c>
      <c r="C2">
        <v>-73.348299999999995</v>
      </c>
      <c r="D2">
        <v>169.6242</v>
      </c>
      <c r="E2" s="1">
        <v>45925</v>
      </c>
      <c r="F2" s="3">
        <v>7.2569444444444443E-3</v>
      </c>
      <c r="G2">
        <v>5566.7639849999996</v>
      </c>
      <c r="H2">
        <v>3</v>
      </c>
      <c r="I2" t="s">
        <v>777</v>
      </c>
      <c r="J2" t="s">
        <v>778</v>
      </c>
      <c r="K2" s="2">
        <v>45925.007256944446</v>
      </c>
      <c r="L2" s="1">
        <v>45925</v>
      </c>
      <c r="M2" t="s">
        <v>779</v>
      </c>
      <c r="N2" s="2">
        <v>45925.007256944446</v>
      </c>
      <c r="O2">
        <v>2025</v>
      </c>
      <c r="P2">
        <v>9</v>
      </c>
      <c r="Q2">
        <v>25</v>
      </c>
      <c r="R2">
        <v>268</v>
      </c>
      <c r="S2">
        <v>2.61134481430053</v>
      </c>
      <c r="T2">
        <v>251.970932006835</v>
      </c>
      <c r="U2">
        <v>247.668685913085</v>
      </c>
      <c r="V2">
        <v>83.418646458718101</v>
      </c>
      <c r="W2">
        <v>68.0352002513538</v>
      </c>
      <c r="X2">
        <v>83.418646458718101</v>
      </c>
      <c r="Y2">
        <v>238.91555555555499</v>
      </c>
      <c r="Z2">
        <v>5.2253273700832397</v>
      </c>
      <c r="AA2" s="6">
        <v>29088.164213614102</v>
      </c>
      <c r="AB2">
        <v>4.7094106688052202</v>
      </c>
      <c r="AC2">
        <v>5.7576897239761902</v>
      </c>
      <c r="AD2">
        <v>26216.1777016796</v>
      </c>
      <c r="AE2">
        <v>32051.699792235198</v>
      </c>
      <c r="AF2">
        <v>26216.1777016796</v>
      </c>
      <c r="AG2">
        <v>32051.699792235198</v>
      </c>
      <c r="AH2" s="6">
        <v>2917.7610452778099</v>
      </c>
      <c r="AI2">
        <v>-51.758881767052003</v>
      </c>
    </row>
    <row r="3" spans="1:35" x14ac:dyDescent="0.25">
      <c r="A3" t="s">
        <v>776</v>
      </c>
      <c r="B3" t="s">
        <v>751</v>
      </c>
      <c r="C3">
        <v>-73.348299999999995</v>
      </c>
      <c r="D3">
        <v>169.6242</v>
      </c>
      <c r="E3" s="1">
        <v>45925</v>
      </c>
      <c r="F3" s="3">
        <v>7.2569444444444443E-3</v>
      </c>
      <c r="G3">
        <v>11426.245349999999</v>
      </c>
      <c r="H3">
        <v>3</v>
      </c>
      <c r="I3" t="s">
        <v>792</v>
      </c>
      <c r="J3" t="s">
        <v>778</v>
      </c>
      <c r="K3" s="2">
        <v>45925.007256944446</v>
      </c>
      <c r="L3" s="1">
        <v>45925</v>
      </c>
      <c r="M3" t="s">
        <v>779</v>
      </c>
      <c r="N3" s="2">
        <v>45925.007256944446</v>
      </c>
      <c r="O3">
        <v>2025</v>
      </c>
      <c r="P3">
        <v>9</v>
      </c>
      <c r="Q3">
        <v>25</v>
      </c>
      <c r="R3">
        <v>268</v>
      </c>
      <c r="S3">
        <v>2.61134481430053</v>
      </c>
      <c r="T3">
        <v>251.970932006835</v>
      </c>
      <c r="U3">
        <v>247.668685913085</v>
      </c>
      <c r="V3">
        <v>83.418646458718101</v>
      </c>
      <c r="W3">
        <v>68.0352002513538</v>
      </c>
      <c r="X3">
        <v>83.418646458718101</v>
      </c>
      <c r="Y3">
        <v>238.91555555555499</v>
      </c>
      <c r="Z3">
        <v>5.2253273700832397</v>
      </c>
      <c r="AA3" s="6">
        <v>59705.8725646413</v>
      </c>
      <c r="AB3">
        <v>4.7094106688052202</v>
      </c>
      <c r="AC3">
        <v>5.7576897239761902</v>
      </c>
      <c r="AD3">
        <v>53810.881755675997</v>
      </c>
      <c r="AE3">
        <v>65788.775435325806</v>
      </c>
      <c r="AF3">
        <v>53810.881755675997</v>
      </c>
      <c r="AG3">
        <v>65788.775435325806</v>
      </c>
      <c r="AH3" s="6">
        <v>5988.94683982489</v>
      </c>
      <c r="AI3">
        <v>-51.758881767052003</v>
      </c>
    </row>
    <row r="4" spans="1:35" x14ac:dyDescent="0.25">
      <c r="A4" t="s">
        <v>776</v>
      </c>
      <c r="B4" t="s">
        <v>751</v>
      </c>
      <c r="C4">
        <v>-73.348299999999995</v>
      </c>
      <c r="D4">
        <v>169.6242</v>
      </c>
      <c r="E4" s="1">
        <v>45925</v>
      </c>
      <c r="F4" s="3">
        <v>7.2569444444444443E-3</v>
      </c>
      <c r="G4">
        <v>16993.009330000001</v>
      </c>
      <c r="H4">
        <v>3</v>
      </c>
      <c r="I4" t="s">
        <v>796</v>
      </c>
      <c r="J4" t="s">
        <v>778</v>
      </c>
      <c r="K4" s="2">
        <v>45925.007256944446</v>
      </c>
      <c r="L4" s="1">
        <v>45925</v>
      </c>
      <c r="M4" t="s">
        <v>779</v>
      </c>
      <c r="N4" s="2">
        <v>45925.007256944446</v>
      </c>
      <c r="O4">
        <v>2025</v>
      </c>
      <c r="P4">
        <v>9</v>
      </c>
      <c r="Q4">
        <v>25</v>
      </c>
      <c r="R4">
        <v>268</v>
      </c>
      <c r="S4">
        <v>2.61134481430053</v>
      </c>
      <c r="T4">
        <v>251.970932006835</v>
      </c>
      <c r="U4">
        <v>247.668685913085</v>
      </c>
      <c r="V4">
        <v>83.418646458718101</v>
      </c>
      <c r="W4">
        <v>68.0352002513538</v>
      </c>
      <c r="X4">
        <v>83.418646458718101</v>
      </c>
      <c r="Y4">
        <v>238.91555555555499</v>
      </c>
      <c r="Z4">
        <v>5.2253273700832397</v>
      </c>
      <c r="AA4" s="6">
        <v>88794.036752128901</v>
      </c>
      <c r="AB4">
        <v>4.7094106688052202</v>
      </c>
      <c r="AC4">
        <v>5.7576897239761902</v>
      </c>
      <c r="AD4">
        <v>80027.059433808594</v>
      </c>
      <c r="AE4">
        <v>97840.475198772605</v>
      </c>
      <c r="AF4">
        <v>80027.059433808594</v>
      </c>
      <c r="AG4">
        <v>97840.475198772605</v>
      </c>
      <c r="AH4" s="6">
        <v>8906.7078824819891</v>
      </c>
      <c r="AI4">
        <v>-51.758881767052003</v>
      </c>
    </row>
    <row r="5" spans="1:35" x14ac:dyDescent="0.25">
      <c r="A5" t="s">
        <v>451</v>
      </c>
      <c r="B5" t="s">
        <v>759</v>
      </c>
      <c r="C5">
        <v>-76.177379999999999</v>
      </c>
      <c r="D5">
        <v>168.394475</v>
      </c>
      <c r="E5" s="1">
        <v>45954</v>
      </c>
      <c r="F5" s="3">
        <v>0.99956018518518519</v>
      </c>
      <c r="G5">
        <v>2934.9397570000001</v>
      </c>
      <c r="H5">
        <v>3</v>
      </c>
      <c r="I5" t="s">
        <v>799</v>
      </c>
      <c r="J5" t="s">
        <v>778</v>
      </c>
      <c r="K5" s="2">
        <v>45954.999560185184</v>
      </c>
      <c r="L5" s="1">
        <v>45954</v>
      </c>
      <c r="M5" t="s">
        <v>800</v>
      </c>
      <c r="N5" s="2">
        <v>45954.999560185184</v>
      </c>
      <c r="O5">
        <v>2025</v>
      </c>
      <c r="P5">
        <v>10</v>
      </c>
      <c r="Q5">
        <v>24</v>
      </c>
      <c r="R5">
        <v>297</v>
      </c>
      <c r="S5">
        <v>3.2614326477050701</v>
      </c>
      <c r="T5">
        <v>253.79380798339801</v>
      </c>
      <c r="U5">
        <v>250.53387451171801</v>
      </c>
      <c r="V5">
        <v>90.562679370155806</v>
      </c>
      <c r="W5">
        <v>75.161425642901506</v>
      </c>
      <c r="X5">
        <v>90.562679370155806</v>
      </c>
      <c r="Y5">
        <v>397.63555555555502</v>
      </c>
      <c r="Z5">
        <v>5.0621581640305697</v>
      </c>
      <c r="AA5" s="6">
        <v>14857.1292518354</v>
      </c>
      <c r="AB5">
        <v>4.5822735759913904</v>
      </c>
      <c r="AC5">
        <v>5.5584296866290099</v>
      </c>
      <c r="AD5">
        <v>13448.6968956277</v>
      </c>
      <c r="AE5">
        <v>16313.6562737765</v>
      </c>
      <c r="AF5">
        <v>13448.6968956277</v>
      </c>
      <c r="AG5">
        <v>16313.6562737765</v>
      </c>
      <c r="AH5" s="6">
        <v>1432.4796890744101</v>
      </c>
      <c r="AI5">
        <v>-49.538121916208198</v>
      </c>
    </row>
    <row r="6" spans="1:35" x14ac:dyDescent="0.25">
      <c r="A6" t="s">
        <v>813</v>
      </c>
      <c r="B6" t="s">
        <v>756</v>
      </c>
      <c r="C6">
        <v>-77.151399999999995</v>
      </c>
      <c r="D6">
        <v>-157.58410000000001</v>
      </c>
      <c r="E6" s="1">
        <v>45929</v>
      </c>
      <c r="F6" s="3">
        <v>0.9303703703703704</v>
      </c>
      <c r="G6">
        <v>26896.498479999998</v>
      </c>
      <c r="H6">
        <v>3</v>
      </c>
      <c r="J6" t="s">
        <v>778</v>
      </c>
      <c r="K6" s="2">
        <v>45929.93037037037</v>
      </c>
      <c r="L6" s="1">
        <v>45929</v>
      </c>
      <c r="M6" t="s">
        <v>814</v>
      </c>
      <c r="N6" s="2">
        <v>45929.93037037037</v>
      </c>
      <c r="O6">
        <v>2025</v>
      </c>
      <c r="P6">
        <v>9</v>
      </c>
      <c r="Q6">
        <v>29</v>
      </c>
      <c r="R6">
        <v>272</v>
      </c>
      <c r="S6">
        <v>4.3459577560424796</v>
      </c>
      <c r="T6">
        <v>250.756423950195</v>
      </c>
      <c r="U6">
        <v>246.91697692871</v>
      </c>
      <c r="V6">
        <v>87.682490909371296</v>
      </c>
      <c r="W6">
        <v>70.688461272038495</v>
      </c>
      <c r="X6">
        <v>87.682490909371296</v>
      </c>
      <c r="Y6">
        <v>190.08</v>
      </c>
      <c r="Z6">
        <v>5.9854457892308597</v>
      </c>
      <c r="AA6" s="6">
        <v>160987.53357217001</v>
      </c>
      <c r="AB6">
        <v>5.3521515611180197</v>
      </c>
      <c r="AC6">
        <v>6.6272636809363101</v>
      </c>
      <c r="AD6">
        <v>143954.13632834001</v>
      </c>
      <c r="AE6">
        <v>178250.187520862</v>
      </c>
      <c r="AF6">
        <v>143954.13632834001</v>
      </c>
      <c r="AG6">
        <v>178250.187520862</v>
      </c>
      <c r="AH6" s="6">
        <v>17148.025596260999</v>
      </c>
      <c r="AI6">
        <v>-61.870973634390602</v>
      </c>
    </row>
    <row r="7" spans="1:35" x14ac:dyDescent="0.25">
      <c r="A7" t="s">
        <v>825</v>
      </c>
      <c r="B7" t="s">
        <v>748</v>
      </c>
      <c r="C7">
        <v>-76.927572999999995</v>
      </c>
      <c r="D7">
        <v>166.92477700000001</v>
      </c>
      <c r="E7" s="1">
        <v>45933</v>
      </c>
      <c r="F7" s="3">
        <v>1.4918981481481481E-2</v>
      </c>
      <c r="G7">
        <v>278.515083</v>
      </c>
      <c r="H7">
        <v>2</v>
      </c>
      <c r="I7" t="s">
        <v>826</v>
      </c>
      <c r="J7" t="s">
        <v>778</v>
      </c>
      <c r="K7" s="2">
        <v>45933.014918981484</v>
      </c>
      <c r="L7" s="1">
        <v>45933</v>
      </c>
      <c r="M7" t="s">
        <v>827</v>
      </c>
      <c r="N7" s="2">
        <v>45933.014918981484</v>
      </c>
      <c r="O7">
        <v>2025</v>
      </c>
      <c r="P7">
        <v>10</v>
      </c>
      <c r="Q7">
        <v>3</v>
      </c>
      <c r="R7">
        <v>276</v>
      </c>
      <c r="S7">
        <v>1.50734174251556</v>
      </c>
      <c r="T7">
        <v>259.63092041015602</v>
      </c>
      <c r="U7">
        <v>254.27781677246</v>
      </c>
      <c r="V7">
        <v>72.723217080742799</v>
      </c>
      <c r="W7">
        <v>63.838592826812302</v>
      </c>
      <c r="X7">
        <v>72.723217080742799</v>
      </c>
      <c r="Y7">
        <v>170.56</v>
      </c>
      <c r="Z7">
        <v>4.3028452263207502</v>
      </c>
      <c r="AA7" s="6">
        <v>1198.4072953448699</v>
      </c>
      <c r="AB7">
        <v>3.95279874602193</v>
      </c>
      <c r="AC7">
        <v>4.66759155371874</v>
      </c>
      <c r="AD7">
        <v>1100.9140708305899</v>
      </c>
      <c r="AE7">
        <v>1299.9946489940701</v>
      </c>
      <c r="AF7">
        <v>1100.9140708305899</v>
      </c>
      <c r="AG7">
        <v>1299.9946489940701</v>
      </c>
      <c r="AH7" s="6">
        <v>99.540289081739601</v>
      </c>
      <c r="AI7">
        <v>-38.8113559360729</v>
      </c>
    </row>
    <row r="8" spans="1:35" x14ac:dyDescent="0.25">
      <c r="A8" t="s">
        <v>838</v>
      </c>
      <c r="B8" t="s">
        <v>761</v>
      </c>
      <c r="C8">
        <v>-71.983065999999994</v>
      </c>
      <c r="D8">
        <v>170.60781700000001</v>
      </c>
      <c r="E8" s="1">
        <v>45952</v>
      </c>
      <c r="F8" s="3">
        <v>0.89525462962962965</v>
      </c>
      <c r="G8">
        <v>3743.1673679999999</v>
      </c>
      <c r="H8">
        <v>3</v>
      </c>
      <c r="J8" t="s">
        <v>778</v>
      </c>
      <c r="K8" s="2">
        <v>45952.895254629628</v>
      </c>
      <c r="L8" s="1">
        <v>45952</v>
      </c>
      <c r="M8" t="s">
        <v>839</v>
      </c>
      <c r="N8" s="2">
        <v>45952.895254629628</v>
      </c>
      <c r="O8">
        <v>2025</v>
      </c>
      <c r="P8">
        <v>10</v>
      </c>
      <c r="Q8">
        <v>22</v>
      </c>
      <c r="R8">
        <v>295</v>
      </c>
      <c r="S8">
        <v>7.5372653007507298</v>
      </c>
      <c r="T8">
        <v>256.86444091796801</v>
      </c>
      <c r="U8">
        <v>250.30143737792901</v>
      </c>
      <c r="V8">
        <v>66.329156307175595</v>
      </c>
      <c r="W8">
        <v>56.695788523354203</v>
      </c>
      <c r="X8">
        <v>66.329156307175595</v>
      </c>
      <c r="Y8">
        <v>246.91555555555499</v>
      </c>
      <c r="Z8">
        <v>5.6229755476190801</v>
      </c>
      <c r="AA8" s="6">
        <v>21047.738580909601</v>
      </c>
      <c r="AB8">
        <v>5.1351001319429503</v>
      </c>
      <c r="AC8">
        <v>6.1203357515851096</v>
      </c>
      <c r="AD8">
        <v>19221.539245301301</v>
      </c>
      <c r="AE8">
        <v>22909.4410665371</v>
      </c>
      <c r="AF8">
        <v>19221.539245301301</v>
      </c>
      <c r="AG8">
        <v>22909.4410665371</v>
      </c>
      <c r="AH8" s="6">
        <v>1843.9509106179</v>
      </c>
      <c r="AI8">
        <v>-57.087051031263996</v>
      </c>
    </row>
    <row r="9" spans="1:35" x14ac:dyDescent="0.25">
      <c r="A9" t="s">
        <v>851</v>
      </c>
      <c r="B9" t="s">
        <v>762</v>
      </c>
      <c r="C9">
        <v>-74.645037000000002</v>
      </c>
      <c r="D9">
        <v>165.38853700000001</v>
      </c>
      <c r="E9" s="1">
        <v>45962</v>
      </c>
      <c r="F9" s="3">
        <v>0.86274305555555553</v>
      </c>
      <c r="G9">
        <v>6302.4041880000004</v>
      </c>
      <c r="H9">
        <v>3</v>
      </c>
      <c r="I9" t="s">
        <v>852</v>
      </c>
      <c r="J9" t="s">
        <v>853</v>
      </c>
      <c r="K9" s="2">
        <v>45962.862743055557</v>
      </c>
      <c r="L9" s="1">
        <v>45962</v>
      </c>
      <c r="M9" t="s">
        <v>854</v>
      </c>
      <c r="N9" s="2">
        <v>45962.862743055557</v>
      </c>
      <c r="O9">
        <v>2025</v>
      </c>
      <c r="P9">
        <v>11</v>
      </c>
      <c r="Q9">
        <v>1</v>
      </c>
      <c r="R9">
        <v>305</v>
      </c>
      <c r="S9">
        <v>5.9356331825256303</v>
      </c>
      <c r="T9">
        <v>258.79083251953102</v>
      </c>
      <c r="U9">
        <v>253.41757202148401</v>
      </c>
      <c r="V9">
        <v>72.935563986083096</v>
      </c>
      <c r="W9">
        <v>63.509047754198797</v>
      </c>
      <c r="X9">
        <v>72.935563986083096</v>
      </c>
      <c r="Y9">
        <v>327.11111111111097</v>
      </c>
      <c r="Z9">
        <v>5.0626783145015697</v>
      </c>
      <c r="AA9" s="6">
        <v>31907.045011811399</v>
      </c>
      <c r="AB9">
        <v>4.6427779364305604</v>
      </c>
      <c r="AC9">
        <v>5.4950662897988396</v>
      </c>
      <c r="AD9">
        <v>29260.663110513899</v>
      </c>
      <c r="AE9">
        <v>34632.128798165802</v>
      </c>
      <c r="AF9">
        <v>29260.663110513899</v>
      </c>
      <c r="AG9">
        <v>34632.128798165802</v>
      </c>
      <c r="AH9" s="6">
        <v>2685.7328438259501</v>
      </c>
      <c r="AI9">
        <v>-49.545239200909002</v>
      </c>
    </row>
    <row r="10" spans="1:35" x14ac:dyDescent="0.25">
      <c r="A10" t="s">
        <v>364</v>
      </c>
      <c r="B10" t="s">
        <v>754</v>
      </c>
      <c r="C10">
        <v>-77.448746</v>
      </c>
      <c r="D10">
        <v>169.277041</v>
      </c>
      <c r="E10" s="1">
        <v>45940</v>
      </c>
      <c r="F10" s="3">
        <v>0.86831018518518521</v>
      </c>
      <c r="G10">
        <v>2569.8765629999998</v>
      </c>
      <c r="H10">
        <v>3</v>
      </c>
      <c r="I10" t="s">
        <v>852</v>
      </c>
      <c r="J10" t="s">
        <v>853</v>
      </c>
      <c r="K10" s="2">
        <v>45940.868310185186</v>
      </c>
      <c r="L10" s="1">
        <v>45940</v>
      </c>
      <c r="M10" t="s">
        <v>867</v>
      </c>
      <c r="N10" s="2">
        <v>45940.868310185186</v>
      </c>
      <c r="O10">
        <v>2025</v>
      </c>
      <c r="P10">
        <v>10</v>
      </c>
      <c r="Q10">
        <v>10</v>
      </c>
      <c r="R10">
        <v>283</v>
      </c>
      <c r="S10">
        <v>4.4574527740478498</v>
      </c>
      <c r="T10">
        <v>250.439697265625</v>
      </c>
      <c r="U10">
        <v>246.4287109375</v>
      </c>
      <c r="V10">
        <v>86.475991761713402</v>
      </c>
      <c r="W10">
        <v>69.505625007625298</v>
      </c>
      <c r="X10">
        <v>86.475991761713402</v>
      </c>
      <c r="Y10">
        <v>168.14222222222199</v>
      </c>
      <c r="Z10">
        <v>6.0593279695496296</v>
      </c>
      <c r="AA10" s="6">
        <v>15571.724936475901</v>
      </c>
      <c r="AB10">
        <v>5.4160734671694604</v>
      </c>
      <c r="AC10">
        <v>6.7098379078681596</v>
      </c>
      <c r="AD10">
        <v>13918.6402667649</v>
      </c>
      <c r="AE10">
        <v>17243.455180959299</v>
      </c>
      <c r="AF10">
        <v>13918.6402667649</v>
      </c>
      <c r="AG10">
        <v>17243.455180959299</v>
      </c>
      <c r="AH10" s="6">
        <v>1662.40745709719</v>
      </c>
      <c r="AI10">
        <v>-62.840612973789398</v>
      </c>
    </row>
    <row r="11" spans="1:35" x14ac:dyDescent="0.25">
      <c r="A11" t="s">
        <v>776</v>
      </c>
      <c r="B11" t="s">
        <v>877</v>
      </c>
      <c r="C11">
        <v>-73.348299999999995</v>
      </c>
      <c r="D11">
        <v>169.6242</v>
      </c>
      <c r="E11" s="1">
        <v>45577</v>
      </c>
      <c r="F11" s="3">
        <v>0.86307870370370365</v>
      </c>
      <c r="G11">
        <v>15257.03</v>
      </c>
      <c r="H11">
        <v>3</v>
      </c>
      <c r="J11" t="s">
        <v>853</v>
      </c>
      <c r="K11" s="2">
        <v>45577.863078703704</v>
      </c>
      <c r="L11" s="1">
        <v>45577</v>
      </c>
      <c r="M11" t="s">
        <v>878</v>
      </c>
      <c r="N11" s="2">
        <v>45577.863078703704</v>
      </c>
      <c r="O11">
        <v>2024</v>
      </c>
      <c r="P11">
        <v>10</v>
      </c>
      <c r="Q11">
        <v>12</v>
      </c>
      <c r="R11">
        <v>286</v>
      </c>
      <c r="S11">
        <v>0.93135237693786599</v>
      </c>
      <c r="T11">
        <v>255.45536804199199</v>
      </c>
      <c r="U11">
        <v>250.26826477050699</v>
      </c>
      <c r="V11">
        <v>75.504115731084298</v>
      </c>
      <c r="W11">
        <v>63.670387418509598</v>
      </c>
      <c r="X11">
        <v>75.504115731084298</v>
      </c>
      <c r="Y11">
        <v>182.88</v>
      </c>
      <c r="Z11">
        <v>4.4979738276786598</v>
      </c>
      <c r="AA11" s="6">
        <v>68625.721628108193</v>
      </c>
      <c r="AB11">
        <v>4.10139016119677</v>
      </c>
      <c r="AC11">
        <v>4.9113280741026104</v>
      </c>
      <c r="AD11">
        <v>62575.032731084</v>
      </c>
      <c r="AE11">
        <v>74932.279766425796</v>
      </c>
      <c r="AF11">
        <v>62575.032731084</v>
      </c>
      <c r="AG11">
        <v>74932.279766425796</v>
      </c>
      <c r="AH11" s="6">
        <v>6178.6235176708897</v>
      </c>
      <c r="AI11">
        <v>-41.642122136146497</v>
      </c>
    </row>
    <row r="12" spans="1:35" x14ac:dyDescent="0.25">
      <c r="A12" t="s">
        <v>813</v>
      </c>
      <c r="B12" t="s">
        <v>879</v>
      </c>
      <c r="C12">
        <v>-77.151399999999995</v>
      </c>
      <c r="D12">
        <v>-157.58410000000001</v>
      </c>
      <c r="E12" s="1">
        <v>45583</v>
      </c>
      <c r="F12" s="3">
        <v>0.78289351851851852</v>
      </c>
      <c r="G12">
        <v>18804.98835</v>
      </c>
      <c r="H12">
        <v>3</v>
      </c>
      <c r="J12" t="s">
        <v>853</v>
      </c>
      <c r="K12" s="2">
        <v>45583.782893518517</v>
      </c>
      <c r="L12" s="1">
        <v>45583</v>
      </c>
      <c r="M12" t="s">
        <v>880</v>
      </c>
      <c r="N12" s="2">
        <v>45583.782893518517</v>
      </c>
      <c r="O12">
        <v>2024</v>
      </c>
      <c r="P12">
        <v>10</v>
      </c>
      <c r="Q12">
        <v>18</v>
      </c>
      <c r="R12">
        <v>292</v>
      </c>
      <c r="S12">
        <v>3.32369637489318</v>
      </c>
      <c r="T12">
        <v>257.16998291015602</v>
      </c>
      <c r="U12">
        <v>251.01568603515599</v>
      </c>
      <c r="V12">
        <v>68.684876673033202</v>
      </c>
      <c r="W12">
        <v>58.8821141934637</v>
      </c>
      <c r="X12">
        <v>68.684876673033202</v>
      </c>
      <c r="Y12">
        <v>95.8044444444444</v>
      </c>
      <c r="Z12">
        <v>4.9749629602340004</v>
      </c>
      <c r="AA12" s="6">
        <v>93554.120508881897</v>
      </c>
      <c r="AB12">
        <v>4.5283309781297403</v>
      </c>
      <c r="AC12">
        <v>5.4367969827585103</v>
      </c>
      <c r="AD12">
        <v>85155.211288673905</v>
      </c>
      <c r="AE12">
        <v>102238.90392208799</v>
      </c>
      <c r="AF12">
        <v>85155.211288673905</v>
      </c>
      <c r="AG12">
        <v>102238.90392208799</v>
      </c>
      <c r="AH12" s="6">
        <v>8541.8463167075097</v>
      </c>
      <c r="AI12">
        <v>-48.341326346026499</v>
      </c>
    </row>
    <row r="13" spans="1:35" x14ac:dyDescent="0.25">
      <c r="A13" t="s">
        <v>838</v>
      </c>
      <c r="B13" t="s">
        <v>881</v>
      </c>
      <c r="C13">
        <v>-71.983065999999994</v>
      </c>
      <c r="D13">
        <v>170.60781700000001</v>
      </c>
      <c r="E13" s="1">
        <v>45576</v>
      </c>
      <c r="F13" s="3">
        <v>0.88756944444444441</v>
      </c>
      <c r="G13">
        <v>6321.3029999999999</v>
      </c>
      <c r="H13">
        <v>3</v>
      </c>
      <c r="J13" t="s">
        <v>853</v>
      </c>
      <c r="K13" s="2">
        <v>45576.887569444443</v>
      </c>
      <c r="L13" s="1">
        <v>45576</v>
      </c>
      <c r="M13" t="s">
        <v>882</v>
      </c>
      <c r="N13" s="2">
        <v>45576.887569444443</v>
      </c>
      <c r="O13">
        <v>2024</v>
      </c>
      <c r="P13">
        <v>10</v>
      </c>
      <c r="Q13">
        <v>11</v>
      </c>
      <c r="R13">
        <v>285</v>
      </c>
      <c r="S13">
        <v>0.63274234533309903</v>
      </c>
      <c r="T13">
        <v>254.564208984375</v>
      </c>
      <c r="U13">
        <v>249.51263427734301</v>
      </c>
      <c r="V13">
        <v>76.798218669595897</v>
      </c>
      <c r="W13">
        <v>64.210226016868205</v>
      </c>
      <c r="X13">
        <v>76.798218669595897</v>
      </c>
      <c r="Y13">
        <v>294.25777777777699</v>
      </c>
      <c r="Z13">
        <v>4.2752991166407801</v>
      </c>
      <c r="AA13" s="6">
        <v>27025.461131918699</v>
      </c>
      <c r="AB13">
        <v>3.9205383986354501</v>
      </c>
      <c r="AC13">
        <v>4.6454235152841399</v>
      </c>
      <c r="AD13">
        <v>24782.911140909498</v>
      </c>
      <c r="AE13">
        <v>29365.1296034361</v>
      </c>
      <c r="AF13">
        <v>24782.911140909498</v>
      </c>
      <c r="AG13">
        <v>29365.1296034361</v>
      </c>
      <c r="AH13" s="6">
        <v>2291.10923126333</v>
      </c>
      <c r="AI13">
        <v>-38.406759350186903</v>
      </c>
    </row>
    <row r="14" spans="1:35" x14ac:dyDescent="0.25">
      <c r="A14" t="s">
        <v>851</v>
      </c>
      <c r="B14" t="s">
        <v>883</v>
      </c>
      <c r="C14">
        <v>-74.645037000000002</v>
      </c>
      <c r="D14">
        <v>165.38853700000001</v>
      </c>
      <c r="E14" s="1">
        <v>45592</v>
      </c>
      <c r="F14" s="3">
        <v>0.87834490740740745</v>
      </c>
      <c r="G14">
        <v>8970.4490000000005</v>
      </c>
      <c r="H14">
        <v>3</v>
      </c>
      <c r="J14" t="s">
        <v>853</v>
      </c>
      <c r="K14" s="2">
        <v>45592.878344907411</v>
      </c>
      <c r="L14" s="1">
        <v>45592</v>
      </c>
      <c r="M14" t="s">
        <v>884</v>
      </c>
      <c r="N14" s="2">
        <v>45592.878344907411</v>
      </c>
      <c r="O14">
        <v>2024</v>
      </c>
      <c r="P14">
        <v>10</v>
      </c>
      <c r="Q14">
        <v>27</v>
      </c>
      <c r="R14">
        <v>301</v>
      </c>
      <c r="S14">
        <v>9.3655023574829102</v>
      </c>
      <c r="T14">
        <v>261.63757324218699</v>
      </c>
      <c r="U14">
        <v>253.19352722167901</v>
      </c>
      <c r="V14">
        <v>55.199938687175496</v>
      </c>
      <c r="W14">
        <v>49.402450847540401</v>
      </c>
      <c r="X14">
        <v>55.199938687175496</v>
      </c>
      <c r="Y14">
        <v>345.52888888888799</v>
      </c>
      <c r="Z14">
        <v>5.1942854493555002</v>
      </c>
      <c r="AA14" s="6">
        <v>46595.072714885602</v>
      </c>
      <c r="AB14">
        <v>4.8286158079513601</v>
      </c>
      <c r="AC14">
        <v>5.5683755239678696</v>
      </c>
      <c r="AD14">
        <v>43314.851845821497</v>
      </c>
      <c r="AE14">
        <v>49950.828650602103</v>
      </c>
      <c r="AF14">
        <v>43314.851845821497</v>
      </c>
      <c r="AG14">
        <v>49950.828650602103</v>
      </c>
      <c r="AH14" s="6">
        <v>3317.9884023903001</v>
      </c>
      <c r="AI14">
        <v>-51.338163670183498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E809-B16B-41FE-8CDE-7019EEDB5FEB}">
  <dimension ref="A1:AQ65"/>
  <sheetViews>
    <sheetView workbookViewId="0">
      <pane ySplit="1" topLeftCell="A2" activePane="bottomLeft" state="frozen"/>
      <selection pane="bottomLeft" activeCell="AG31" sqref="AG31:AH33"/>
    </sheetView>
  </sheetViews>
  <sheetFormatPr defaultRowHeight="15" x14ac:dyDescent="0.25"/>
  <cols>
    <col min="1" max="1" width="14.85546875" customWidth="1"/>
    <col min="4" max="4" width="27.7109375" customWidth="1"/>
    <col min="5" max="5" width="14" customWidth="1"/>
    <col min="13" max="13" width="11.85546875" customWidth="1"/>
    <col min="14" max="14" width="15.5703125" bestFit="1" customWidth="1"/>
    <col min="15" max="15" width="10.42578125" bestFit="1" customWidth="1"/>
    <col min="16" max="16" width="12" bestFit="1" customWidth="1"/>
    <col min="17" max="17" width="10.42578125" bestFit="1" customWidth="1"/>
    <col min="18" max="18" width="15.5703125" bestFit="1" customWidth="1"/>
    <col min="19" max="20" width="18.85546875" bestFit="1" customWidth="1"/>
    <col min="22" max="22" width="18.85546875" bestFit="1" customWidth="1"/>
    <col min="42" max="42" width="10.42578125" bestFit="1" customWidth="1"/>
    <col min="43" max="43" width="10.140625" bestFit="1" customWidth="1"/>
  </cols>
  <sheetData>
    <row r="1" spans="1:43" x14ac:dyDescent="0.25">
      <c r="A1" t="s">
        <v>68</v>
      </c>
      <c r="B1" t="s">
        <v>69</v>
      </c>
      <c r="C1" t="s">
        <v>889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80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101</v>
      </c>
      <c r="V1" t="s">
        <v>99</v>
      </c>
      <c r="W1" t="s">
        <v>102</v>
      </c>
      <c r="X1" t="s">
        <v>103</v>
      </c>
      <c r="Y1" t="s">
        <v>100</v>
      </c>
      <c r="Z1" s="6" t="s">
        <v>104</v>
      </c>
      <c r="AA1" s="6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725</v>
      </c>
      <c r="AH1" t="s">
        <v>726</v>
      </c>
      <c r="AI1" t="s">
        <v>727</v>
      </c>
      <c r="AJ1" t="s">
        <v>728</v>
      </c>
      <c r="AK1" t="s">
        <v>729</v>
      </c>
      <c r="AL1" t="s">
        <v>730</v>
      </c>
      <c r="AM1" t="s">
        <v>731</v>
      </c>
      <c r="AN1" t="s">
        <v>771</v>
      </c>
      <c r="AO1" t="s">
        <v>886</v>
      </c>
      <c r="AP1" t="s">
        <v>887</v>
      </c>
      <c r="AQ1" t="s">
        <v>888</v>
      </c>
    </row>
    <row r="2" spans="1:43" x14ac:dyDescent="0.25">
      <c r="A2" t="s">
        <v>0</v>
      </c>
      <c r="B2" t="s">
        <v>1</v>
      </c>
      <c r="C2" t="s">
        <v>890</v>
      </c>
      <c r="D2" t="s">
        <v>2</v>
      </c>
      <c r="E2" s="1">
        <v>45771</v>
      </c>
      <c r="F2">
        <v>4</v>
      </c>
      <c r="G2">
        <v>24</v>
      </c>
      <c r="H2">
        <v>2025</v>
      </c>
      <c r="I2">
        <v>114</v>
      </c>
      <c r="J2">
        <v>-76.932184000000007</v>
      </c>
      <c r="K2">
        <v>166.94161800000001</v>
      </c>
      <c r="M2">
        <v>1</v>
      </c>
      <c r="N2" s="2">
        <v>45771.470312500001</v>
      </c>
      <c r="O2" s="3">
        <v>0.47031250000000002</v>
      </c>
      <c r="P2" t="s">
        <v>6</v>
      </c>
      <c r="Q2" s="1">
        <v>45771</v>
      </c>
      <c r="R2" s="2">
        <v>45771.470312500001</v>
      </c>
      <c r="S2" s="4" t="s">
        <v>7</v>
      </c>
      <c r="T2" s="4" t="s">
        <v>8</v>
      </c>
      <c r="U2" s="4" t="s">
        <v>9</v>
      </c>
      <c r="V2">
        <v>99.525822145778406</v>
      </c>
      <c r="W2" s="4" t="s">
        <v>10</v>
      </c>
      <c r="X2">
        <v>99.525822145778406</v>
      </c>
      <c r="Y2">
        <v>0</v>
      </c>
      <c r="Z2" s="5" t="s">
        <v>11</v>
      </c>
      <c r="AA2" s="6"/>
      <c r="AB2" s="4" t="s">
        <v>12</v>
      </c>
      <c r="AC2">
        <v>5.5922873826033799</v>
      </c>
      <c r="AF2">
        <v>-66.310386017578594</v>
      </c>
      <c r="AG2" t="s">
        <v>885</v>
      </c>
      <c r="AH2" t="s">
        <v>885</v>
      </c>
      <c r="AI2" t="s">
        <v>885</v>
      </c>
      <c r="AJ2" t="s">
        <v>885</v>
      </c>
      <c r="AK2" t="s">
        <v>885</v>
      </c>
      <c r="AL2" t="s">
        <v>885</v>
      </c>
      <c r="AM2" t="s">
        <v>885</v>
      </c>
      <c r="AO2" s="6"/>
    </row>
    <row r="3" spans="1:43" x14ac:dyDescent="0.25">
      <c r="A3" t="s">
        <v>0</v>
      </c>
      <c r="B3" t="s">
        <v>1</v>
      </c>
      <c r="C3" t="s">
        <v>890</v>
      </c>
      <c r="D3" t="s">
        <v>13</v>
      </c>
      <c r="E3" s="1">
        <v>45799</v>
      </c>
      <c r="F3">
        <v>5</v>
      </c>
      <c r="G3">
        <v>22</v>
      </c>
      <c r="H3">
        <v>2025</v>
      </c>
      <c r="I3">
        <v>142</v>
      </c>
      <c r="J3">
        <v>-76.932184000000007</v>
      </c>
      <c r="K3">
        <v>166.94161800000001</v>
      </c>
      <c r="M3">
        <v>1</v>
      </c>
      <c r="N3" s="2">
        <v>45799.478506944448</v>
      </c>
      <c r="O3" s="3">
        <v>0.47850694444444447</v>
      </c>
      <c r="P3" t="s">
        <v>14</v>
      </c>
      <c r="Q3" s="1">
        <v>45799</v>
      </c>
      <c r="R3" s="2">
        <v>45799.478506944448</v>
      </c>
      <c r="S3" s="4" t="s">
        <v>15</v>
      </c>
      <c r="T3">
        <v>252.53759765625</v>
      </c>
      <c r="U3" s="4" t="s">
        <v>17</v>
      </c>
      <c r="V3" s="4" t="s">
        <v>16</v>
      </c>
      <c r="W3" s="4" t="s">
        <v>18</v>
      </c>
      <c r="X3" s="4" t="s">
        <v>16</v>
      </c>
      <c r="Y3">
        <v>0</v>
      </c>
      <c r="Z3" s="5" t="s">
        <v>19</v>
      </c>
      <c r="AA3" s="6"/>
      <c r="AB3" s="4" t="s">
        <v>20</v>
      </c>
      <c r="AC3" s="4" t="s">
        <v>21</v>
      </c>
      <c r="AF3">
        <v>-59.779701463099997</v>
      </c>
      <c r="AG3" t="s">
        <v>885</v>
      </c>
      <c r="AH3" t="s">
        <v>885</v>
      </c>
      <c r="AI3" t="s">
        <v>885</v>
      </c>
      <c r="AJ3" t="s">
        <v>885</v>
      </c>
      <c r="AK3" t="s">
        <v>885</v>
      </c>
      <c r="AL3" t="s">
        <v>885</v>
      </c>
      <c r="AM3" t="s">
        <v>885</v>
      </c>
      <c r="AO3" s="6"/>
    </row>
    <row r="4" spans="1:43" x14ac:dyDescent="0.25">
      <c r="A4" t="s">
        <v>0</v>
      </c>
      <c r="B4" t="s">
        <v>1</v>
      </c>
      <c r="C4" t="s">
        <v>890</v>
      </c>
      <c r="D4" t="s">
        <v>22</v>
      </c>
      <c r="E4" s="1">
        <v>45822</v>
      </c>
      <c r="F4">
        <v>6</v>
      </c>
      <c r="G4">
        <v>14</v>
      </c>
      <c r="H4">
        <v>2025</v>
      </c>
      <c r="I4">
        <v>165</v>
      </c>
      <c r="J4">
        <v>-76.932184000000007</v>
      </c>
      <c r="K4">
        <v>166.94161800000001</v>
      </c>
      <c r="L4">
        <v>125.141229</v>
      </c>
      <c r="M4">
        <v>2</v>
      </c>
      <c r="N4" s="2">
        <v>45822.914467592593</v>
      </c>
      <c r="O4" s="3">
        <v>0.91446759259259258</v>
      </c>
      <c r="P4" t="s">
        <v>25</v>
      </c>
      <c r="Q4" s="1">
        <v>45822</v>
      </c>
      <c r="R4" s="2">
        <v>45822.914467592593</v>
      </c>
      <c r="S4" s="4" t="s">
        <v>26</v>
      </c>
      <c r="T4" s="4" t="s">
        <v>27</v>
      </c>
      <c r="U4" s="4" t="s">
        <v>29</v>
      </c>
      <c r="V4" s="4" t="s">
        <v>28</v>
      </c>
      <c r="W4" s="4" t="s">
        <v>30</v>
      </c>
      <c r="X4" s="4" t="s">
        <v>28</v>
      </c>
      <c r="Y4">
        <v>0</v>
      </c>
      <c r="Z4" s="5" t="s">
        <v>31</v>
      </c>
      <c r="AA4" s="5" t="s">
        <v>32</v>
      </c>
      <c r="AB4" s="4" t="s">
        <v>33</v>
      </c>
      <c r="AC4" s="4" t="s">
        <v>34</v>
      </c>
      <c r="AD4" s="4" t="s">
        <v>35</v>
      </c>
      <c r="AE4" s="4" t="s">
        <v>36</v>
      </c>
      <c r="AF4">
        <v>-49.322717479589002</v>
      </c>
      <c r="AG4" t="s">
        <v>885</v>
      </c>
      <c r="AH4" t="s">
        <v>885</v>
      </c>
      <c r="AI4" t="s">
        <v>885</v>
      </c>
      <c r="AJ4" t="s">
        <v>885</v>
      </c>
      <c r="AK4" t="s">
        <v>885</v>
      </c>
      <c r="AL4" t="s">
        <v>885</v>
      </c>
      <c r="AM4" t="s">
        <v>885</v>
      </c>
      <c r="AO4" s="5" t="s">
        <v>32</v>
      </c>
      <c r="AP4" s="4" t="s">
        <v>35</v>
      </c>
      <c r="AQ4" s="4" t="s">
        <v>36</v>
      </c>
    </row>
    <row r="5" spans="1:43" x14ac:dyDescent="0.25">
      <c r="A5" t="s">
        <v>0</v>
      </c>
      <c r="B5" t="s">
        <v>1</v>
      </c>
      <c r="C5" t="s">
        <v>890</v>
      </c>
      <c r="D5" t="s">
        <v>37</v>
      </c>
      <c r="E5" s="1">
        <v>45838</v>
      </c>
      <c r="F5">
        <v>6</v>
      </c>
      <c r="G5">
        <v>30</v>
      </c>
      <c r="H5">
        <v>2025</v>
      </c>
      <c r="I5">
        <v>181</v>
      </c>
      <c r="J5">
        <v>-76.932184000000007</v>
      </c>
      <c r="K5">
        <v>166.94161800000001</v>
      </c>
      <c r="M5">
        <v>1</v>
      </c>
      <c r="N5" s="2">
        <v>45838.48810185185</v>
      </c>
      <c r="O5" s="3">
        <v>0.48810185185185184</v>
      </c>
      <c r="P5" t="s">
        <v>38</v>
      </c>
      <c r="Q5" s="1">
        <v>45838</v>
      </c>
      <c r="R5" s="2">
        <v>45838.48810185185</v>
      </c>
      <c r="S5" s="4" t="s">
        <v>39</v>
      </c>
      <c r="T5" s="4" t="s">
        <v>40</v>
      </c>
      <c r="U5" s="4" t="s">
        <v>42</v>
      </c>
      <c r="V5" s="4" t="s">
        <v>41</v>
      </c>
      <c r="W5" s="4" t="s">
        <v>43</v>
      </c>
      <c r="X5" s="4" t="s">
        <v>41</v>
      </c>
      <c r="Y5">
        <v>0</v>
      </c>
      <c r="Z5" s="5" t="s">
        <v>44</v>
      </c>
      <c r="AA5" s="6"/>
      <c r="AB5" s="4" t="s">
        <v>45</v>
      </c>
      <c r="AC5" s="4" t="s">
        <v>46</v>
      </c>
      <c r="AF5">
        <v>-68.977289483647695</v>
      </c>
      <c r="AG5" t="s">
        <v>885</v>
      </c>
      <c r="AH5" t="s">
        <v>885</v>
      </c>
      <c r="AI5" t="s">
        <v>885</v>
      </c>
      <c r="AJ5" t="s">
        <v>885</v>
      </c>
      <c r="AK5" t="s">
        <v>885</v>
      </c>
      <c r="AL5" t="s">
        <v>885</v>
      </c>
      <c r="AM5" t="s">
        <v>885</v>
      </c>
      <c r="AO5" s="6"/>
    </row>
    <row r="6" spans="1:43" x14ac:dyDescent="0.25">
      <c r="A6" t="s">
        <v>0</v>
      </c>
      <c r="B6" t="s">
        <v>1</v>
      </c>
      <c r="C6" t="s">
        <v>890</v>
      </c>
      <c r="D6" t="s">
        <v>47</v>
      </c>
      <c r="E6" s="1">
        <v>45847</v>
      </c>
      <c r="F6">
        <v>7</v>
      </c>
      <c r="G6">
        <v>9</v>
      </c>
      <c r="H6">
        <v>2025</v>
      </c>
      <c r="I6">
        <v>190</v>
      </c>
      <c r="J6">
        <v>-76.932184000000007</v>
      </c>
      <c r="K6">
        <v>166.94161800000001</v>
      </c>
      <c r="L6">
        <v>94.547060000000002</v>
      </c>
      <c r="M6">
        <v>2</v>
      </c>
      <c r="N6" s="2">
        <v>45847.824363425927</v>
      </c>
      <c r="O6" s="3">
        <v>0.82436342592592593</v>
      </c>
      <c r="P6" t="s">
        <v>48</v>
      </c>
      <c r="Q6" s="1">
        <v>45847</v>
      </c>
      <c r="R6" s="2">
        <v>45847.824363425927</v>
      </c>
      <c r="S6" s="4" t="s">
        <v>49</v>
      </c>
      <c r="T6" s="4" t="s">
        <v>50</v>
      </c>
      <c r="U6" s="4" t="s">
        <v>52</v>
      </c>
      <c r="V6" s="4" t="s">
        <v>51</v>
      </c>
      <c r="W6" s="4" t="s">
        <v>53</v>
      </c>
      <c r="X6" s="4" t="s">
        <v>51</v>
      </c>
      <c r="Y6">
        <v>0</v>
      </c>
      <c r="Z6" s="5" t="s">
        <v>54</v>
      </c>
      <c r="AA6" s="5" t="s">
        <v>55</v>
      </c>
      <c r="AB6" s="4" t="s">
        <v>56</v>
      </c>
      <c r="AC6" s="4" t="s">
        <v>57</v>
      </c>
      <c r="AD6">
        <v>631.69679122315995</v>
      </c>
      <c r="AE6" s="4" t="s">
        <v>58</v>
      </c>
      <c r="AF6">
        <v>-61.599379032792797</v>
      </c>
      <c r="AG6" t="s">
        <v>885</v>
      </c>
      <c r="AH6" t="s">
        <v>885</v>
      </c>
      <c r="AI6" t="s">
        <v>885</v>
      </c>
      <c r="AJ6" t="s">
        <v>885</v>
      </c>
      <c r="AK6" t="s">
        <v>885</v>
      </c>
      <c r="AL6" t="s">
        <v>885</v>
      </c>
      <c r="AM6" t="s">
        <v>885</v>
      </c>
      <c r="AO6" s="5" t="s">
        <v>55</v>
      </c>
      <c r="AP6">
        <v>631.69679122315995</v>
      </c>
      <c r="AQ6" s="4" t="s">
        <v>58</v>
      </c>
    </row>
    <row r="7" spans="1:43" x14ac:dyDescent="0.25">
      <c r="A7" t="s">
        <v>0</v>
      </c>
      <c r="B7" t="s">
        <v>1</v>
      </c>
      <c r="C7" t="s">
        <v>890</v>
      </c>
      <c r="D7" t="s">
        <v>59</v>
      </c>
      <c r="E7" s="1">
        <v>45890</v>
      </c>
      <c r="F7">
        <v>8</v>
      </c>
      <c r="G7">
        <v>21</v>
      </c>
      <c r="H7">
        <v>2025</v>
      </c>
      <c r="I7">
        <v>233</v>
      </c>
      <c r="J7">
        <v>-76.932184000000007</v>
      </c>
      <c r="K7">
        <v>166.94161800000001</v>
      </c>
      <c r="M7">
        <v>1</v>
      </c>
      <c r="N7" s="2">
        <v>45890.491319444445</v>
      </c>
      <c r="O7" s="3">
        <v>0.49131944444444442</v>
      </c>
      <c r="P7" t="s">
        <v>60</v>
      </c>
      <c r="Q7" s="1">
        <v>45890</v>
      </c>
      <c r="R7" s="2">
        <v>45890.491319444445</v>
      </c>
      <c r="S7" s="4" t="s">
        <v>61</v>
      </c>
      <c r="T7" s="4" t="s">
        <v>62</v>
      </c>
      <c r="U7" s="4" t="s">
        <v>64</v>
      </c>
      <c r="V7" s="4" t="s">
        <v>63</v>
      </c>
      <c r="W7" s="4" t="s">
        <v>65</v>
      </c>
      <c r="X7" s="4" t="s">
        <v>63</v>
      </c>
      <c r="Y7">
        <v>0</v>
      </c>
      <c r="Z7" s="5" t="s">
        <v>66</v>
      </c>
      <c r="AA7" s="6"/>
      <c r="AB7" s="4" t="s">
        <v>67</v>
      </c>
      <c r="AC7">
        <v>5.6469776826850504</v>
      </c>
      <c r="AF7">
        <v>-67.573033656972399</v>
      </c>
      <c r="AG7" t="s">
        <v>885</v>
      </c>
      <c r="AH7" t="s">
        <v>885</v>
      </c>
      <c r="AI7" t="s">
        <v>885</v>
      </c>
      <c r="AJ7" t="s">
        <v>885</v>
      </c>
      <c r="AK7" t="s">
        <v>885</v>
      </c>
      <c r="AL7" t="s">
        <v>885</v>
      </c>
      <c r="AM7" t="s">
        <v>885</v>
      </c>
      <c r="AO7" s="6"/>
    </row>
    <row r="8" spans="1:43" x14ac:dyDescent="0.25">
      <c r="A8" t="s">
        <v>0</v>
      </c>
      <c r="B8" t="s">
        <v>1</v>
      </c>
      <c r="C8" t="s">
        <v>1071</v>
      </c>
      <c r="D8" t="s">
        <v>748</v>
      </c>
      <c r="E8" s="1">
        <v>45726</v>
      </c>
      <c r="F8">
        <v>10</v>
      </c>
      <c r="G8">
        <v>3</v>
      </c>
      <c r="H8">
        <v>2025</v>
      </c>
      <c r="I8">
        <v>276</v>
      </c>
      <c r="J8">
        <v>-76.932184000000007</v>
      </c>
      <c r="K8">
        <v>166.94161800000001</v>
      </c>
      <c r="L8">
        <v>278.515083</v>
      </c>
      <c r="M8">
        <v>4</v>
      </c>
      <c r="N8" s="2">
        <v>45933.01458333333</v>
      </c>
      <c r="O8" s="3">
        <v>1.4918981481481481E-2</v>
      </c>
      <c r="P8" t="s">
        <v>827</v>
      </c>
      <c r="Q8" s="1">
        <v>45933</v>
      </c>
      <c r="R8" s="2">
        <v>45933.01458333333</v>
      </c>
      <c r="S8" s="4" t="s">
        <v>828</v>
      </c>
      <c r="T8" s="4" t="s">
        <v>829</v>
      </c>
      <c r="U8" s="4" t="s">
        <v>830</v>
      </c>
      <c r="V8" s="4" t="s">
        <v>831</v>
      </c>
      <c r="W8" s="4" t="s">
        <v>832</v>
      </c>
      <c r="X8" s="4" t="s">
        <v>831</v>
      </c>
      <c r="Y8">
        <v>170.56</v>
      </c>
      <c r="Z8" s="4" t="s">
        <v>833</v>
      </c>
      <c r="AA8" s="4" t="s">
        <v>834</v>
      </c>
      <c r="AB8" s="4" t="s">
        <v>835</v>
      </c>
      <c r="AC8">
        <v>4.6675915540000004</v>
      </c>
      <c r="AD8" s="4" t="s">
        <v>836</v>
      </c>
      <c r="AE8" s="4" t="s">
        <v>837</v>
      </c>
      <c r="AF8">
        <v>-38.811355939999999</v>
      </c>
      <c r="AG8">
        <v>273.89797034803797</v>
      </c>
      <c r="AH8">
        <v>113.644228857277</v>
      </c>
      <c r="AI8">
        <v>137.06647804900601</v>
      </c>
      <c r="AJ8">
        <v>148.91268433091699</v>
      </c>
      <c r="AK8">
        <v>247.89765286551301</v>
      </c>
      <c r="AL8">
        <v>483.246639060424</v>
      </c>
      <c r="AM8">
        <v>561.17004865093099</v>
      </c>
      <c r="AO8">
        <v>273.89797034803797</v>
      </c>
      <c r="AP8">
        <f>AO8+AH8</f>
        <v>387.542199205315</v>
      </c>
      <c r="AQ8">
        <f>AO8-AH8</f>
        <v>160.25374149076097</v>
      </c>
    </row>
    <row r="9" spans="1:43" x14ac:dyDescent="0.25">
      <c r="A9" t="s">
        <v>111</v>
      </c>
      <c r="B9" t="s">
        <v>112</v>
      </c>
      <c r="C9" t="s">
        <v>890</v>
      </c>
      <c r="D9" t="s">
        <v>113</v>
      </c>
      <c r="E9" s="1">
        <v>45770</v>
      </c>
      <c r="F9">
        <v>4</v>
      </c>
      <c r="G9">
        <v>23</v>
      </c>
      <c r="H9">
        <v>2025</v>
      </c>
      <c r="I9">
        <v>113</v>
      </c>
      <c r="J9">
        <v>-77.151399999999995</v>
      </c>
      <c r="K9">
        <v>-157.58410000000001</v>
      </c>
      <c r="L9">
        <v>7329.2536579999996</v>
      </c>
      <c r="M9">
        <v>3</v>
      </c>
      <c r="N9" s="2">
        <v>45770.683900462966</v>
      </c>
      <c r="O9" s="3">
        <v>0.68390046296296292</v>
      </c>
      <c r="P9" t="s">
        <v>115</v>
      </c>
      <c r="Q9" s="1">
        <v>45770</v>
      </c>
      <c r="R9" s="2">
        <v>45770.683900462966</v>
      </c>
      <c r="S9" s="4" t="s">
        <v>116</v>
      </c>
      <c r="T9" s="4" t="s">
        <v>117</v>
      </c>
      <c r="U9" s="4" t="s">
        <v>119</v>
      </c>
      <c r="V9" s="4" t="s">
        <v>118</v>
      </c>
      <c r="W9" s="4" t="s">
        <v>120</v>
      </c>
      <c r="X9" s="4" t="s">
        <v>118</v>
      </c>
      <c r="Y9">
        <v>0</v>
      </c>
      <c r="Z9" s="5" t="s">
        <v>121</v>
      </c>
      <c r="AA9" s="5" t="s">
        <v>122</v>
      </c>
      <c r="AB9" s="4" t="s">
        <v>123</v>
      </c>
      <c r="AC9" s="4" t="s">
        <v>124</v>
      </c>
      <c r="AD9" s="4" t="s">
        <v>125</v>
      </c>
      <c r="AE9" s="4" t="s">
        <v>126</v>
      </c>
      <c r="AF9">
        <v>-55.377115388751498</v>
      </c>
      <c r="AG9" t="s">
        <v>885</v>
      </c>
      <c r="AH9" t="s">
        <v>885</v>
      </c>
      <c r="AI9" t="s">
        <v>885</v>
      </c>
      <c r="AJ9" t="s">
        <v>885</v>
      </c>
      <c r="AK9" t="s">
        <v>885</v>
      </c>
      <c r="AL9" t="s">
        <v>885</v>
      </c>
      <c r="AM9" t="s">
        <v>885</v>
      </c>
      <c r="AO9" s="5" t="s">
        <v>122</v>
      </c>
      <c r="AP9" s="4" t="s">
        <v>125</v>
      </c>
      <c r="AQ9" s="4" t="s">
        <v>126</v>
      </c>
    </row>
    <row r="10" spans="1:43" x14ac:dyDescent="0.25">
      <c r="A10" t="s">
        <v>111</v>
      </c>
      <c r="B10" t="s">
        <v>112</v>
      </c>
      <c r="C10" t="s">
        <v>890</v>
      </c>
      <c r="D10" t="s">
        <v>127</v>
      </c>
      <c r="E10" s="1">
        <v>45790</v>
      </c>
      <c r="F10">
        <v>5</v>
      </c>
      <c r="G10">
        <v>13</v>
      </c>
      <c r="H10">
        <v>2025</v>
      </c>
      <c r="I10">
        <v>133</v>
      </c>
      <c r="J10">
        <v>-77.151399999999995</v>
      </c>
      <c r="K10">
        <v>-157.58410000000001</v>
      </c>
      <c r="L10">
        <v>4911.599862</v>
      </c>
      <c r="M10">
        <v>5</v>
      </c>
      <c r="N10" s="2">
        <v>45790.686412037037</v>
      </c>
      <c r="O10" s="3">
        <v>0.68641203703703701</v>
      </c>
      <c r="P10" t="s">
        <v>128</v>
      </c>
      <c r="Q10" s="1">
        <v>45790</v>
      </c>
      <c r="R10" s="2">
        <v>45790.686412037037</v>
      </c>
      <c r="S10" s="4" t="s">
        <v>129</v>
      </c>
      <c r="T10" s="4" t="s">
        <v>130</v>
      </c>
      <c r="U10" s="4" t="s">
        <v>132</v>
      </c>
      <c r="V10" s="4" t="s">
        <v>131</v>
      </c>
      <c r="W10" s="4" t="s">
        <v>133</v>
      </c>
      <c r="X10" s="4" t="s">
        <v>131</v>
      </c>
      <c r="Y10">
        <v>0</v>
      </c>
      <c r="Z10" s="5" t="s">
        <v>134</v>
      </c>
      <c r="AA10" s="5" t="s">
        <v>135</v>
      </c>
      <c r="AB10" s="4" t="s">
        <v>136</v>
      </c>
      <c r="AC10" s="4" t="s">
        <v>137</v>
      </c>
      <c r="AD10" s="4" t="s">
        <v>138</v>
      </c>
      <c r="AE10" s="4" t="s">
        <v>139</v>
      </c>
      <c r="AF10">
        <v>-74.554894621714396</v>
      </c>
      <c r="AG10" t="s">
        <v>885</v>
      </c>
      <c r="AH10" t="s">
        <v>885</v>
      </c>
      <c r="AI10" t="s">
        <v>885</v>
      </c>
      <c r="AJ10" t="s">
        <v>885</v>
      </c>
      <c r="AK10" t="s">
        <v>885</v>
      </c>
      <c r="AL10" t="s">
        <v>885</v>
      </c>
      <c r="AM10" t="s">
        <v>885</v>
      </c>
      <c r="AO10" s="5" t="s">
        <v>135</v>
      </c>
      <c r="AP10" s="4" t="s">
        <v>138</v>
      </c>
      <c r="AQ10" s="4" t="s">
        <v>139</v>
      </c>
    </row>
    <row r="11" spans="1:43" x14ac:dyDescent="0.25">
      <c r="A11" t="s">
        <v>111</v>
      </c>
      <c r="B11" t="s">
        <v>112</v>
      </c>
      <c r="C11" t="s">
        <v>890</v>
      </c>
      <c r="D11" t="s">
        <v>140</v>
      </c>
      <c r="E11" s="1">
        <v>45799</v>
      </c>
      <c r="F11">
        <v>5</v>
      </c>
      <c r="G11">
        <v>22</v>
      </c>
      <c r="H11">
        <v>2025</v>
      </c>
      <c r="I11">
        <v>142</v>
      </c>
      <c r="J11">
        <v>-77.151399999999995</v>
      </c>
      <c r="K11">
        <v>-157.58410000000001</v>
      </c>
      <c r="L11">
        <v>6536.8123649999998</v>
      </c>
      <c r="M11">
        <v>5</v>
      </c>
      <c r="N11" s="2">
        <v>45799.823101851849</v>
      </c>
      <c r="O11" s="3">
        <v>0.82310185185185181</v>
      </c>
      <c r="P11" t="s">
        <v>141</v>
      </c>
      <c r="Q11" s="1">
        <v>45799</v>
      </c>
      <c r="R11" s="2">
        <v>45799.823101851849</v>
      </c>
      <c r="S11" s="4" t="s">
        <v>142</v>
      </c>
      <c r="T11" s="4" t="s">
        <v>143</v>
      </c>
      <c r="U11" s="4" t="s">
        <v>145</v>
      </c>
      <c r="V11" s="4" t="s">
        <v>144</v>
      </c>
      <c r="W11" s="4" t="s">
        <v>146</v>
      </c>
      <c r="X11" s="4" t="s">
        <v>144</v>
      </c>
      <c r="Y11">
        <v>0</v>
      </c>
      <c r="Z11" s="6">
        <v>7.2167721344723699</v>
      </c>
      <c r="AA11" s="5" t="s">
        <v>147</v>
      </c>
      <c r="AB11" s="4" t="s">
        <v>148</v>
      </c>
      <c r="AC11">
        <v>6.4823699513575699</v>
      </c>
      <c r="AD11" s="4" t="s">
        <v>149</v>
      </c>
      <c r="AE11" s="4" t="s">
        <v>150</v>
      </c>
      <c r="AF11">
        <v>-78.033865937812394</v>
      </c>
      <c r="AG11" t="s">
        <v>885</v>
      </c>
      <c r="AH11" t="s">
        <v>885</v>
      </c>
      <c r="AI11" t="s">
        <v>885</v>
      </c>
      <c r="AJ11" t="s">
        <v>885</v>
      </c>
      <c r="AK11" t="s">
        <v>885</v>
      </c>
      <c r="AL11" t="s">
        <v>885</v>
      </c>
      <c r="AM11" t="s">
        <v>885</v>
      </c>
      <c r="AO11" s="5" t="s">
        <v>147</v>
      </c>
      <c r="AP11" s="4" t="s">
        <v>149</v>
      </c>
      <c r="AQ11" s="4" t="s">
        <v>150</v>
      </c>
    </row>
    <row r="12" spans="1:43" x14ac:dyDescent="0.25">
      <c r="A12" t="s">
        <v>111</v>
      </c>
      <c r="B12" t="s">
        <v>112</v>
      </c>
      <c r="C12" t="s">
        <v>890</v>
      </c>
      <c r="D12" t="s">
        <v>151</v>
      </c>
      <c r="E12" s="1">
        <v>45813</v>
      </c>
      <c r="F12">
        <v>6</v>
      </c>
      <c r="G12">
        <v>5</v>
      </c>
      <c r="H12">
        <v>2025</v>
      </c>
      <c r="I12">
        <v>156</v>
      </c>
      <c r="J12">
        <v>-77.151399999999995</v>
      </c>
      <c r="K12">
        <v>-157.58410000000001</v>
      </c>
      <c r="L12">
        <v>4918.7996419999999</v>
      </c>
      <c r="M12">
        <v>5</v>
      </c>
      <c r="N12" s="2">
        <v>45813.465451388889</v>
      </c>
      <c r="O12" s="3">
        <v>0.46545138888888887</v>
      </c>
      <c r="P12" t="s">
        <v>152</v>
      </c>
      <c r="Q12" s="1">
        <v>45813</v>
      </c>
      <c r="R12" s="2">
        <v>45813.465451388889</v>
      </c>
      <c r="S12">
        <v>3.4934349060058598</v>
      </c>
      <c r="T12" s="4" t="s">
        <v>153</v>
      </c>
      <c r="U12" s="4" t="s">
        <v>155</v>
      </c>
      <c r="V12" s="4" t="s">
        <v>154</v>
      </c>
      <c r="W12" s="4" t="s">
        <v>156</v>
      </c>
      <c r="X12" s="4" t="s">
        <v>154</v>
      </c>
      <c r="Y12">
        <v>0</v>
      </c>
      <c r="Z12" s="5" t="s">
        <v>157</v>
      </c>
      <c r="AA12" s="5" t="s">
        <v>158</v>
      </c>
      <c r="AB12" s="4" t="s">
        <v>159</v>
      </c>
      <c r="AC12" s="4" t="s">
        <v>160</v>
      </c>
      <c r="AD12" s="4" t="s">
        <v>161</v>
      </c>
      <c r="AE12" s="4" t="s">
        <v>162</v>
      </c>
      <c r="AF12">
        <v>-67.749874192891298</v>
      </c>
      <c r="AG12" t="s">
        <v>885</v>
      </c>
      <c r="AH12" t="s">
        <v>885</v>
      </c>
      <c r="AI12" t="s">
        <v>885</v>
      </c>
      <c r="AJ12" t="s">
        <v>885</v>
      </c>
      <c r="AK12" t="s">
        <v>885</v>
      </c>
      <c r="AL12" t="s">
        <v>885</v>
      </c>
      <c r="AM12" t="s">
        <v>885</v>
      </c>
      <c r="AO12" s="5" t="s">
        <v>158</v>
      </c>
      <c r="AP12" s="4" t="s">
        <v>161</v>
      </c>
      <c r="AQ12" s="4" t="s">
        <v>162</v>
      </c>
    </row>
    <row r="13" spans="1:43" x14ac:dyDescent="0.25">
      <c r="A13" t="s">
        <v>111</v>
      </c>
      <c r="B13" t="s">
        <v>112</v>
      </c>
      <c r="C13" t="s">
        <v>890</v>
      </c>
      <c r="D13" t="s">
        <v>163</v>
      </c>
      <c r="E13" s="1">
        <v>45821</v>
      </c>
      <c r="F13">
        <v>6</v>
      </c>
      <c r="G13">
        <v>13</v>
      </c>
      <c r="H13">
        <v>2025</v>
      </c>
      <c r="I13">
        <v>164</v>
      </c>
      <c r="J13">
        <v>-77.151399999999995</v>
      </c>
      <c r="K13">
        <v>-157.58410000000001</v>
      </c>
      <c r="L13">
        <v>4211.869565</v>
      </c>
      <c r="M13">
        <v>5</v>
      </c>
      <c r="N13" s="2">
        <v>45821.832303240742</v>
      </c>
      <c r="O13" s="3">
        <v>0.83230324074074069</v>
      </c>
      <c r="P13" t="s">
        <v>164</v>
      </c>
      <c r="Q13" s="1">
        <v>45821</v>
      </c>
      <c r="R13" s="2">
        <v>45821.832303240742</v>
      </c>
      <c r="S13" s="4" t="s">
        <v>165</v>
      </c>
      <c r="T13">
        <v>262.523193359375</v>
      </c>
      <c r="U13" s="4" t="s">
        <v>167</v>
      </c>
      <c r="V13" s="4" t="s">
        <v>166</v>
      </c>
      <c r="W13">
        <v>56.424423722119201</v>
      </c>
      <c r="X13" s="4" t="s">
        <v>166</v>
      </c>
      <c r="Y13">
        <v>0</v>
      </c>
      <c r="Z13" s="5" t="s">
        <v>168</v>
      </c>
      <c r="AA13" s="5" t="s">
        <v>169</v>
      </c>
      <c r="AB13" s="4" t="s">
        <v>170</v>
      </c>
      <c r="AC13" s="4" t="s">
        <v>171</v>
      </c>
      <c r="AD13" s="4" t="s">
        <v>172</v>
      </c>
      <c r="AE13" s="4" t="s">
        <v>173</v>
      </c>
      <c r="AF13">
        <v>-56.283401966082799</v>
      </c>
      <c r="AG13" t="s">
        <v>885</v>
      </c>
      <c r="AH13" t="s">
        <v>885</v>
      </c>
      <c r="AI13" t="s">
        <v>885</v>
      </c>
      <c r="AJ13" t="s">
        <v>885</v>
      </c>
      <c r="AK13" t="s">
        <v>885</v>
      </c>
      <c r="AL13" t="s">
        <v>885</v>
      </c>
      <c r="AM13" t="s">
        <v>885</v>
      </c>
      <c r="AO13" s="5" t="s">
        <v>169</v>
      </c>
      <c r="AP13" s="4" t="s">
        <v>172</v>
      </c>
      <c r="AQ13" s="4" t="s">
        <v>173</v>
      </c>
    </row>
    <row r="14" spans="1:43" x14ac:dyDescent="0.25">
      <c r="A14" t="s">
        <v>111</v>
      </c>
      <c r="B14" t="s">
        <v>112</v>
      </c>
      <c r="C14" t="s">
        <v>890</v>
      </c>
      <c r="D14" t="s">
        <v>174</v>
      </c>
      <c r="E14" s="1">
        <v>45838</v>
      </c>
      <c r="F14">
        <v>6</v>
      </c>
      <c r="G14">
        <v>30</v>
      </c>
      <c r="H14">
        <v>2025</v>
      </c>
      <c r="I14">
        <v>181</v>
      </c>
      <c r="J14">
        <v>-77.151399999999995</v>
      </c>
      <c r="K14">
        <v>-157.58410000000001</v>
      </c>
      <c r="L14">
        <v>3636.4740489999999</v>
      </c>
      <c r="M14">
        <v>5</v>
      </c>
      <c r="N14" s="2">
        <v>45838.440300925926</v>
      </c>
      <c r="O14" s="3">
        <v>0.4403009259259259</v>
      </c>
      <c r="P14" t="s">
        <v>175</v>
      </c>
      <c r="Q14" s="1">
        <v>45838</v>
      </c>
      <c r="R14" s="2">
        <v>45838.440300925926</v>
      </c>
      <c r="S14" s="4" t="s">
        <v>176</v>
      </c>
      <c r="T14" s="4" t="s">
        <v>177</v>
      </c>
      <c r="U14" s="4" t="s">
        <v>178</v>
      </c>
      <c r="V14">
        <v>88.267102326702599</v>
      </c>
      <c r="W14">
        <v>78.699911808927098</v>
      </c>
      <c r="X14">
        <v>88.267102326702599</v>
      </c>
      <c r="Y14">
        <v>0</v>
      </c>
      <c r="Z14" s="5" t="s">
        <v>179</v>
      </c>
      <c r="AA14" s="5" t="s">
        <v>180</v>
      </c>
      <c r="AB14" s="4" t="s">
        <v>181</v>
      </c>
      <c r="AC14" s="4" t="s">
        <v>182</v>
      </c>
      <c r="AD14" s="4" t="s">
        <v>183</v>
      </c>
      <c r="AE14">
        <v>22608.228011819501</v>
      </c>
      <c r="AF14">
        <v>-74.373585955769599</v>
      </c>
      <c r="AG14" t="s">
        <v>885</v>
      </c>
      <c r="AH14" t="s">
        <v>885</v>
      </c>
      <c r="AI14" t="s">
        <v>885</v>
      </c>
      <c r="AJ14" t="s">
        <v>885</v>
      </c>
      <c r="AK14" t="s">
        <v>885</v>
      </c>
      <c r="AL14" t="s">
        <v>885</v>
      </c>
      <c r="AM14" t="s">
        <v>885</v>
      </c>
      <c r="AO14" s="5" t="s">
        <v>180</v>
      </c>
      <c r="AP14" s="4" t="s">
        <v>183</v>
      </c>
      <c r="AQ14">
        <v>22608.228011819501</v>
      </c>
    </row>
    <row r="15" spans="1:43" x14ac:dyDescent="0.25">
      <c r="A15" t="s">
        <v>111</v>
      </c>
      <c r="B15" t="s">
        <v>112</v>
      </c>
      <c r="C15" t="s">
        <v>890</v>
      </c>
      <c r="D15" t="s">
        <v>184</v>
      </c>
      <c r="E15" s="1">
        <v>45846</v>
      </c>
      <c r="F15">
        <v>7</v>
      </c>
      <c r="G15">
        <v>8</v>
      </c>
      <c r="H15">
        <v>2025</v>
      </c>
      <c r="I15">
        <v>189</v>
      </c>
      <c r="J15">
        <v>-77.151399999999995</v>
      </c>
      <c r="K15">
        <v>-157.58410000000001</v>
      </c>
      <c r="L15">
        <v>3057.055053</v>
      </c>
      <c r="M15">
        <v>5</v>
      </c>
      <c r="N15" s="2">
        <v>45846.432395833333</v>
      </c>
      <c r="O15" s="3">
        <v>0.43239583333333331</v>
      </c>
      <c r="P15" t="s">
        <v>185</v>
      </c>
      <c r="Q15" s="1">
        <v>45846</v>
      </c>
      <c r="R15" s="2">
        <v>45846.432395833333</v>
      </c>
      <c r="S15" s="4" t="s">
        <v>186</v>
      </c>
      <c r="T15" s="4" t="s">
        <v>187</v>
      </c>
      <c r="U15" s="4" t="s">
        <v>189</v>
      </c>
      <c r="V15" s="4" t="s">
        <v>188</v>
      </c>
      <c r="W15" s="4" t="s">
        <v>190</v>
      </c>
      <c r="X15" s="4" t="s">
        <v>188</v>
      </c>
      <c r="Y15">
        <v>0</v>
      </c>
      <c r="Z15" s="5" t="s">
        <v>191</v>
      </c>
      <c r="AA15" s="5" t="s">
        <v>192</v>
      </c>
      <c r="AB15">
        <v>9.2035358703773706</v>
      </c>
      <c r="AC15" s="4" t="s">
        <v>193</v>
      </c>
      <c r="AD15" s="4" t="s">
        <v>194</v>
      </c>
      <c r="AE15" s="4" t="s">
        <v>195</v>
      </c>
      <c r="AF15">
        <v>-94.388626357639296</v>
      </c>
      <c r="AG15" t="s">
        <v>885</v>
      </c>
      <c r="AH15" t="s">
        <v>885</v>
      </c>
      <c r="AI15" t="s">
        <v>885</v>
      </c>
      <c r="AJ15" t="s">
        <v>885</v>
      </c>
      <c r="AK15" t="s">
        <v>885</v>
      </c>
      <c r="AL15" t="s">
        <v>885</v>
      </c>
      <c r="AM15" t="s">
        <v>885</v>
      </c>
      <c r="AO15" s="5" t="s">
        <v>192</v>
      </c>
      <c r="AP15" s="4" t="s">
        <v>194</v>
      </c>
      <c r="AQ15" s="4" t="s">
        <v>195</v>
      </c>
    </row>
    <row r="16" spans="1:43" x14ac:dyDescent="0.25">
      <c r="A16" t="s">
        <v>111</v>
      </c>
      <c r="B16" t="s">
        <v>112</v>
      </c>
      <c r="C16" t="s">
        <v>890</v>
      </c>
      <c r="D16" t="s">
        <v>196</v>
      </c>
      <c r="E16" s="1">
        <v>45863</v>
      </c>
      <c r="F16">
        <v>7</v>
      </c>
      <c r="G16">
        <v>25</v>
      </c>
      <c r="H16">
        <v>2025</v>
      </c>
      <c r="I16">
        <v>206</v>
      </c>
      <c r="J16">
        <v>-77.151399999999995</v>
      </c>
      <c r="K16">
        <v>-157.58410000000001</v>
      </c>
      <c r="L16">
        <v>3049.7158989999998</v>
      </c>
      <c r="M16">
        <v>5</v>
      </c>
      <c r="N16" s="2">
        <v>45863.445428240739</v>
      </c>
      <c r="O16" s="3">
        <v>0.44542824074074072</v>
      </c>
      <c r="P16" t="s">
        <v>197</v>
      </c>
      <c r="Q16" s="1">
        <v>45863</v>
      </c>
      <c r="R16" s="2">
        <v>45863.445428240739</v>
      </c>
      <c r="S16" s="4" t="s">
        <v>198</v>
      </c>
      <c r="T16" s="4" t="s">
        <v>199</v>
      </c>
      <c r="U16">
        <v>235.82470703125</v>
      </c>
      <c r="V16" s="4" t="s">
        <v>200</v>
      </c>
      <c r="W16">
        <v>70.265444128751994</v>
      </c>
      <c r="X16" s="4" t="s">
        <v>200</v>
      </c>
      <c r="Y16">
        <v>0</v>
      </c>
      <c r="Z16" s="5" t="s">
        <v>201</v>
      </c>
      <c r="AA16" s="5" t="s">
        <v>202</v>
      </c>
      <c r="AB16" s="4" t="s">
        <v>203</v>
      </c>
      <c r="AC16" s="4" t="s">
        <v>204</v>
      </c>
      <c r="AD16">
        <v>23732.593613964698</v>
      </c>
      <c r="AE16" s="4" t="s">
        <v>205</v>
      </c>
      <c r="AF16">
        <v>-74.549346009076302</v>
      </c>
      <c r="AG16" t="s">
        <v>885</v>
      </c>
      <c r="AH16" t="s">
        <v>885</v>
      </c>
      <c r="AI16" t="s">
        <v>885</v>
      </c>
      <c r="AJ16" t="s">
        <v>885</v>
      </c>
      <c r="AK16" t="s">
        <v>885</v>
      </c>
      <c r="AL16" t="s">
        <v>885</v>
      </c>
      <c r="AM16" t="s">
        <v>885</v>
      </c>
      <c r="AO16" s="5" t="s">
        <v>202</v>
      </c>
      <c r="AP16">
        <v>23732.593613964698</v>
      </c>
      <c r="AQ16" s="4" t="s">
        <v>205</v>
      </c>
    </row>
    <row r="17" spans="1:43" x14ac:dyDescent="0.25">
      <c r="A17" t="s">
        <v>111</v>
      </c>
      <c r="B17" t="s">
        <v>112</v>
      </c>
      <c r="C17" t="s">
        <v>890</v>
      </c>
      <c r="D17" t="s">
        <v>206</v>
      </c>
      <c r="E17" s="1">
        <v>45875</v>
      </c>
      <c r="F17">
        <v>8</v>
      </c>
      <c r="G17">
        <v>6</v>
      </c>
      <c r="H17">
        <v>2025</v>
      </c>
      <c r="I17">
        <v>218</v>
      </c>
      <c r="J17">
        <v>-77.151399999999995</v>
      </c>
      <c r="K17">
        <v>-157.58410000000001</v>
      </c>
      <c r="L17">
        <v>2371.4624170000002</v>
      </c>
      <c r="M17">
        <v>5</v>
      </c>
      <c r="N17" s="2">
        <v>45875.438310185185</v>
      </c>
      <c r="O17" s="3">
        <v>0.43831018518518516</v>
      </c>
      <c r="P17" t="s">
        <v>207</v>
      </c>
      <c r="Q17" s="1">
        <v>45875</v>
      </c>
      <c r="R17" s="2">
        <v>45875.438310185185</v>
      </c>
      <c r="S17" s="4" t="s">
        <v>208</v>
      </c>
      <c r="T17" s="4" t="s">
        <v>209</v>
      </c>
      <c r="U17" s="4" t="s">
        <v>211</v>
      </c>
      <c r="V17" s="4" t="s">
        <v>210</v>
      </c>
      <c r="W17" s="4" t="s">
        <v>212</v>
      </c>
      <c r="X17" s="4" t="s">
        <v>210</v>
      </c>
      <c r="Y17">
        <v>0</v>
      </c>
      <c r="Z17" s="5" t="s">
        <v>213</v>
      </c>
      <c r="AA17" s="5" t="s">
        <v>214</v>
      </c>
      <c r="AB17">
        <v>8.4901414651738296</v>
      </c>
      <c r="AC17" s="4" t="s">
        <v>215</v>
      </c>
      <c r="AD17" s="4" t="s">
        <v>216</v>
      </c>
      <c r="AE17" s="4" t="s">
        <v>217</v>
      </c>
      <c r="AF17">
        <v>-84.257492001443694</v>
      </c>
      <c r="AG17" t="s">
        <v>885</v>
      </c>
      <c r="AH17" t="s">
        <v>885</v>
      </c>
      <c r="AI17" t="s">
        <v>885</v>
      </c>
      <c r="AJ17" t="s">
        <v>885</v>
      </c>
      <c r="AK17" t="s">
        <v>885</v>
      </c>
      <c r="AL17" t="s">
        <v>885</v>
      </c>
      <c r="AM17" t="s">
        <v>885</v>
      </c>
      <c r="AO17" s="5" t="s">
        <v>214</v>
      </c>
      <c r="AP17" s="4" t="s">
        <v>216</v>
      </c>
      <c r="AQ17" s="4" t="s">
        <v>217</v>
      </c>
    </row>
    <row r="18" spans="1:43" x14ac:dyDescent="0.25">
      <c r="A18" t="s">
        <v>111</v>
      </c>
      <c r="B18" t="s">
        <v>112</v>
      </c>
      <c r="C18" t="s">
        <v>890</v>
      </c>
      <c r="D18" t="s">
        <v>218</v>
      </c>
      <c r="E18" s="1">
        <v>45889</v>
      </c>
      <c r="F18">
        <v>8</v>
      </c>
      <c r="G18">
        <v>20</v>
      </c>
      <c r="H18">
        <v>2025</v>
      </c>
      <c r="I18">
        <v>232</v>
      </c>
      <c r="J18">
        <v>-77.151399999999995</v>
      </c>
      <c r="K18">
        <v>-157.58410000000001</v>
      </c>
      <c r="L18">
        <v>2347.2710459999998</v>
      </c>
      <c r="M18">
        <v>5</v>
      </c>
      <c r="N18" s="2">
        <v>45889.391203703701</v>
      </c>
      <c r="O18" s="3">
        <v>0.39120370370370372</v>
      </c>
      <c r="P18" t="s">
        <v>219</v>
      </c>
      <c r="Q18" s="1">
        <v>45889</v>
      </c>
      <c r="R18" s="2">
        <v>45889.391203703701</v>
      </c>
      <c r="S18" s="4" t="s">
        <v>220</v>
      </c>
      <c r="T18" s="4" t="s">
        <v>221</v>
      </c>
      <c r="U18" s="4" t="s">
        <v>223</v>
      </c>
      <c r="V18" s="4" t="s">
        <v>222</v>
      </c>
      <c r="W18">
        <v>59.910869905798002</v>
      </c>
      <c r="X18" s="4" t="s">
        <v>222</v>
      </c>
      <c r="Y18">
        <v>0</v>
      </c>
      <c r="Z18" s="5" t="s">
        <v>224</v>
      </c>
      <c r="AA18" s="5" t="s">
        <v>225</v>
      </c>
      <c r="AB18" s="4" t="s">
        <v>226</v>
      </c>
      <c r="AC18" s="4" t="s">
        <v>227</v>
      </c>
      <c r="AD18" s="4" t="s">
        <v>228</v>
      </c>
      <c r="AE18" s="4" t="s">
        <v>229</v>
      </c>
      <c r="AF18">
        <v>-76.932994290718298</v>
      </c>
      <c r="AG18" t="s">
        <v>885</v>
      </c>
      <c r="AH18" t="s">
        <v>885</v>
      </c>
      <c r="AI18" t="s">
        <v>885</v>
      </c>
      <c r="AJ18" t="s">
        <v>885</v>
      </c>
      <c r="AK18" t="s">
        <v>885</v>
      </c>
      <c r="AL18" t="s">
        <v>885</v>
      </c>
      <c r="AM18" t="s">
        <v>885</v>
      </c>
      <c r="AO18" s="5" t="s">
        <v>225</v>
      </c>
      <c r="AP18" s="4" t="s">
        <v>228</v>
      </c>
      <c r="AQ18" s="4" t="s">
        <v>229</v>
      </c>
    </row>
    <row r="19" spans="1:43" x14ac:dyDescent="0.25">
      <c r="A19" t="s">
        <v>111</v>
      </c>
      <c r="B19" t="s">
        <v>112</v>
      </c>
      <c r="C19" t="s">
        <v>890</v>
      </c>
      <c r="D19" t="s">
        <v>230</v>
      </c>
      <c r="E19" s="1">
        <v>45898</v>
      </c>
      <c r="F19">
        <v>8</v>
      </c>
      <c r="G19">
        <v>29</v>
      </c>
      <c r="H19">
        <v>2025</v>
      </c>
      <c r="I19">
        <v>241</v>
      </c>
      <c r="J19">
        <v>-77.151399999999995</v>
      </c>
      <c r="K19">
        <v>-157.58410000000001</v>
      </c>
      <c r="M19">
        <v>2</v>
      </c>
      <c r="N19" s="2">
        <v>45898.383194444446</v>
      </c>
      <c r="O19" s="3">
        <v>0.38319444444444445</v>
      </c>
      <c r="P19" t="s">
        <v>231</v>
      </c>
      <c r="Q19" s="1">
        <v>45898</v>
      </c>
      <c r="R19" s="2">
        <v>45898.383194444446</v>
      </c>
      <c r="S19" s="4" t="s">
        <v>232</v>
      </c>
      <c r="T19" s="4" t="s">
        <v>233</v>
      </c>
      <c r="U19" s="4" t="s">
        <v>235</v>
      </c>
      <c r="V19" s="4" t="s">
        <v>234</v>
      </c>
      <c r="W19" s="4" t="s">
        <v>236</v>
      </c>
      <c r="X19" s="4" t="s">
        <v>234</v>
      </c>
      <c r="Y19">
        <v>0</v>
      </c>
      <c r="Z19" s="5" t="s">
        <v>237</v>
      </c>
      <c r="AA19" s="6"/>
      <c r="AB19" s="4" t="s">
        <v>238</v>
      </c>
      <c r="AC19" s="4" t="s">
        <v>239</v>
      </c>
      <c r="AF19">
        <v>-63.261763784287098</v>
      </c>
      <c r="AG19" t="s">
        <v>885</v>
      </c>
      <c r="AH19" t="s">
        <v>885</v>
      </c>
      <c r="AI19" t="s">
        <v>885</v>
      </c>
      <c r="AJ19" t="s">
        <v>885</v>
      </c>
      <c r="AK19" t="s">
        <v>885</v>
      </c>
      <c r="AL19" t="s">
        <v>885</v>
      </c>
      <c r="AM19" t="s">
        <v>885</v>
      </c>
      <c r="AO19" s="6"/>
    </row>
    <row r="20" spans="1:43" x14ac:dyDescent="0.25">
      <c r="A20" t="s">
        <v>111</v>
      </c>
      <c r="B20" t="s">
        <v>112</v>
      </c>
      <c r="C20" t="s">
        <v>1071</v>
      </c>
      <c r="D20" t="s">
        <v>756</v>
      </c>
      <c r="E20" s="1">
        <v>45929</v>
      </c>
      <c r="F20">
        <v>9</v>
      </c>
      <c r="G20">
        <v>29</v>
      </c>
      <c r="H20">
        <v>2025</v>
      </c>
      <c r="I20">
        <v>272</v>
      </c>
      <c r="J20">
        <v>-77.135000000000005</v>
      </c>
      <c r="K20">
        <v>-157.715</v>
      </c>
      <c r="L20">
        <v>26896.498479999998</v>
      </c>
      <c r="M20">
        <v>5</v>
      </c>
      <c r="N20" s="2">
        <v>45929.929861111108</v>
      </c>
      <c r="O20" s="3">
        <v>0.9303703703703704</v>
      </c>
      <c r="P20" t="s">
        <v>814</v>
      </c>
      <c r="Q20" s="1">
        <v>45929</v>
      </c>
      <c r="R20" s="2">
        <v>45929.929861111108</v>
      </c>
      <c r="S20" s="4" t="s">
        <v>815</v>
      </c>
      <c r="T20" s="4" t="s">
        <v>816</v>
      </c>
      <c r="U20" s="4" t="s">
        <v>817</v>
      </c>
      <c r="V20" s="4" t="s">
        <v>818</v>
      </c>
      <c r="W20">
        <v>70.688461270000005</v>
      </c>
      <c r="X20" s="4" t="s">
        <v>818</v>
      </c>
      <c r="Y20">
        <v>190.08</v>
      </c>
      <c r="Z20" s="4" t="s">
        <v>819</v>
      </c>
      <c r="AA20" s="4" t="s">
        <v>820</v>
      </c>
      <c r="AB20" s="4" t="s">
        <v>821</v>
      </c>
      <c r="AC20" s="4" t="s">
        <v>822</v>
      </c>
      <c r="AD20" s="4" t="s">
        <v>823</v>
      </c>
      <c r="AE20" s="4" t="s">
        <v>824</v>
      </c>
      <c r="AF20">
        <v>-61.870973630000002</v>
      </c>
      <c r="AG20">
        <v>23618.610811503899</v>
      </c>
      <c r="AH20">
        <v>6739.4749036125704</v>
      </c>
      <c r="AI20">
        <v>14509.003451484899</v>
      </c>
      <c r="AJ20">
        <v>15448.699477186199</v>
      </c>
      <c r="AK20">
        <v>22323.703188195501</v>
      </c>
      <c r="AL20">
        <v>36064.979850748598</v>
      </c>
      <c r="AM20">
        <v>40321.972022043497</v>
      </c>
      <c r="AO20">
        <f>AG20</f>
        <v>23618.610811503899</v>
      </c>
      <c r="AP20">
        <f>AG20+AH20</f>
        <v>30358.085715116467</v>
      </c>
      <c r="AQ20">
        <f>AG20-AH20</f>
        <v>16879.13590789133</v>
      </c>
    </row>
    <row r="21" spans="1:43" x14ac:dyDescent="0.25">
      <c r="A21" t="s">
        <v>240</v>
      </c>
      <c r="B21" t="s">
        <v>241</v>
      </c>
      <c r="C21" t="s">
        <v>890</v>
      </c>
      <c r="D21" t="s">
        <v>242</v>
      </c>
      <c r="E21" s="1">
        <v>45772</v>
      </c>
      <c r="F21">
        <v>4</v>
      </c>
      <c r="G21">
        <v>25</v>
      </c>
      <c r="H21">
        <v>2025</v>
      </c>
      <c r="I21">
        <v>115</v>
      </c>
      <c r="J21">
        <v>-73.354399999999998</v>
      </c>
      <c r="K21">
        <v>169.6198</v>
      </c>
      <c r="L21">
        <v>967.33864300000005</v>
      </c>
      <c r="M21">
        <v>3</v>
      </c>
      <c r="N21" s="2">
        <v>45772.507905092592</v>
      </c>
      <c r="O21" s="3">
        <v>0.50790509259259264</v>
      </c>
      <c r="P21" t="s">
        <v>243</v>
      </c>
      <c r="Q21" s="1">
        <v>45772</v>
      </c>
      <c r="R21" s="2">
        <v>45772.507905092592</v>
      </c>
      <c r="S21" s="4" t="s">
        <v>244</v>
      </c>
      <c r="T21" s="4" t="s">
        <v>245</v>
      </c>
      <c r="U21" s="4" t="s">
        <v>247</v>
      </c>
      <c r="V21" s="4" t="s">
        <v>246</v>
      </c>
      <c r="W21" s="4" t="s">
        <v>248</v>
      </c>
      <c r="X21" s="4" t="s">
        <v>246</v>
      </c>
      <c r="Y21">
        <v>0</v>
      </c>
      <c r="Z21" s="5" t="s">
        <v>249</v>
      </c>
      <c r="AA21" s="5" t="s">
        <v>250</v>
      </c>
      <c r="AB21" s="4" t="s">
        <v>251</v>
      </c>
      <c r="AC21" s="4" t="s">
        <v>252</v>
      </c>
      <c r="AD21" s="4" t="s">
        <v>253</v>
      </c>
      <c r="AE21" s="4" t="s">
        <v>254</v>
      </c>
      <c r="AF21">
        <v>-70.242477059196204</v>
      </c>
      <c r="AG21" t="s">
        <v>885</v>
      </c>
      <c r="AH21" t="s">
        <v>885</v>
      </c>
      <c r="AI21" t="s">
        <v>885</v>
      </c>
      <c r="AJ21" t="s">
        <v>885</v>
      </c>
      <c r="AK21" t="s">
        <v>885</v>
      </c>
      <c r="AL21" t="s">
        <v>885</v>
      </c>
      <c r="AM21" t="s">
        <v>885</v>
      </c>
      <c r="AO21" s="5" t="s">
        <v>250</v>
      </c>
      <c r="AP21" s="4" t="s">
        <v>253</v>
      </c>
      <c r="AQ21" s="4" t="s">
        <v>254</v>
      </c>
    </row>
    <row r="22" spans="1:43" x14ac:dyDescent="0.25">
      <c r="A22" t="s">
        <v>240</v>
      </c>
      <c r="B22" t="s">
        <v>241</v>
      </c>
      <c r="C22" t="s">
        <v>890</v>
      </c>
      <c r="D22" t="s">
        <v>255</v>
      </c>
      <c r="E22" s="1">
        <v>45790</v>
      </c>
      <c r="F22">
        <v>5</v>
      </c>
      <c r="G22">
        <v>13</v>
      </c>
      <c r="H22">
        <v>2025</v>
      </c>
      <c r="I22">
        <v>133</v>
      </c>
      <c r="J22">
        <v>-73.354399999999998</v>
      </c>
      <c r="K22">
        <v>169.6198</v>
      </c>
      <c r="L22">
        <v>3410.1936129999999</v>
      </c>
      <c r="M22">
        <v>5</v>
      </c>
      <c r="N22" s="2">
        <v>45790.517071759263</v>
      </c>
      <c r="O22" s="3">
        <v>0.5170717592592593</v>
      </c>
      <c r="P22" t="s">
        <v>256</v>
      </c>
      <c r="Q22" s="1">
        <v>45790</v>
      </c>
      <c r="R22" s="2">
        <v>45790.517071759263</v>
      </c>
      <c r="S22" s="4" t="s">
        <v>257</v>
      </c>
      <c r="T22" s="4" t="s">
        <v>258</v>
      </c>
      <c r="U22" s="4" t="s">
        <v>260</v>
      </c>
      <c r="V22" s="4" t="s">
        <v>259</v>
      </c>
      <c r="W22" s="4" t="s">
        <v>261</v>
      </c>
      <c r="X22" s="4" t="s">
        <v>259</v>
      </c>
      <c r="Y22">
        <v>0</v>
      </c>
      <c r="Z22" s="5" t="s">
        <v>262</v>
      </c>
      <c r="AA22" s="5" t="s">
        <v>263</v>
      </c>
      <c r="AB22" s="4" t="s">
        <v>264</v>
      </c>
      <c r="AC22" s="4" t="s">
        <v>265</v>
      </c>
      <c r="AD22" s="4" t="s">
        <v>266</v>
      </c>
      <c r="AE22" s="4" t="s">
        <v>267</v>
      </c>
      <c r="AF22">
        <v>-72.898389305373698</v>
      </c>
      <c r="AG22" t="s">
        <v>885</v>
      </c>
      <c r="AH22" t="s">
        <v>885</v>
      </c>
      <c r="AI22" t="s">
        <v>885</v>
      </c>
      <c r="AJ22" t="s">
        <v>885</v>
      </c>
      <c r="AK22" t="s">
        <v>885</v>
      </c>
      <c r="AL22" t="s">
        <v>885</v>
      </c>
      <c r="AM22" t="s">
        <v>885</v>
      </c>
      <c r="AO22" s="5" t="s">
        <v>263</v>
      </c>
      <c r="AP22" s="4" t="s">
        <v>266</v>
      </c>
      <c r="AQ22" s="4" t="s">
        <v>267</v>
      </c>
    </row>
    <row r="23" spans="1:43" x14ac:dyDescent="0.25">
      <c r="A23" t="s">
        <v>240</v>
      </c>
      <c r="B23" t="s">
        <v>241</v>
      </c>
      <c r="C23" t="s">
        <v>890</v>
      </c>
      <c r="D23" t="s">
        <v>268</v>
      </c>
      <c r="E23" s="1">
        <v>45800</v>
      </c>
      <c r="F23">
        <v>5</v>
      </c>
      <c r="G23">
        <v>23</v>
      </c>
      <c r="H23">
        <v>2025</v>
      </c>
      <c r="I23">
        <v>143</v>
      </c>
      <c r="J23">
        <v>-73.354399999999998</v>
      </c>
      <c r="K23">
        <v>169.6198</v>
      </c>
      <c r="L23">
        <v>4120.5616550000004</v>
      </c>
      <c r="M23">
        <v>5</v>
      </c>
      <c r="N23" s="2">
        <v>45800.52</v>
      </c>
      <c r="O23" s="3">
        <v>0.52</v>
      </c>
      <c r="P23" t="s">
        <v>269</v>
      </c>
      <c r="Q23" s="1">
        <v>45800</v>
      </c>
      <c r="R23" s="2">
        <v>45800.52</v>
      </c>
      <c r="S23" s="4" t="s">
        <v>270</v>
      </c>
      <c r="T23" s="4" t="s">
        <v>271</v>
      </c>
      <c r="U23" s="4" t="s">
        <v>273</v>
      </c>
      <c r="V23" s="4" t="s">
        <v>272</v>
      </c>
      <c r="W23" s="4" t="s">
        <v>274</v>
      </c>
      <c r="X23" s="4" t="s">
        <v>272</v>
      </c>
      <c r="Y23">
        <v>0</v>
      </c>
      <c r="Z23" s="5" t="s">
        <v>275</v>
      </c>
      <c r="AA23" s="5" t="s">
        <v>276</v>
      </c>
      <c r="AB23" s="4" t="s">
        <v>277</v>
      </c>
      <c r="AC23" s="4" t="s">
        <v>278</v>
      </c>
      <c r="AD23" s="4" t="s">
        <v>279</v>
      </c>
      <c r="AE23" s="4" t="s">
        <v>280</v>
      </c>
      <c r="AF23">
        <v>-77.543489372309807</v>
      </c>
      <c r="AG23" t="s">
        <v>885</v>
      </c>
      <c r="AH23" t="s">
        <v>885</v>
      </c>
      <c r="AI23" t="s">
        <v>885</v>
      </c>
      <c r="AJ23" t="s">
        <v>885</v>
      </c>
      <c r="AK23" t="s">
        <v>885</v>
      </c>
      <c r="AL23" t="s">
        <v>885</v>
      </c>
      <c r="AM23" t="s">
        <v>885</v>
      </c>
      <c r="AO23" s="5" t="s">
        <v>276</v>
      </c>
      <c r="AP23" s="4" t="s">
        <v>279</v>
      </c>
      <c r="AQ23" s="4" t="s">
        <v>280</v>
      </c>
    </row>
    <row r="24" spans="1:43" x14ac:dyDescent="0.25">
      <c r="A24" t="s">
        <v>240</v>
      </c>
      <c r="B24" t="s">
        <v>241</v>
      </c>
      <c r="C24" t="s">
        <v>890</v>
      </c>
      <c r="D24" t="s">
        <v>281</v>
      </c>
      <c r="E24" s="1">
        <v>45810</v>
      </c>
      <c r="F24">
        <v>6</v>
      </c>
      <c r="G24">
        <v>2</v>
      </c>
      <c r="H24">
        <v>2025</v>
      </c>
      <c r="I24">
        <v>153</v>
      </c>
      <c r="J24">
        <v>-73.354399999999998</v>
      </c>
      <c r="K24">
        <v>169.6198</v>
      </c>
      <c r="L24">
        <v>4248.1579629999997</v>
      </c>
      <c r="M24">
        <v>5</v>
      </c>
      <c r="N24" s="2">
        <v>45810.600624999999</v>
      </c>
      <c r="O24" s="3">
        <v>0.60062499999999996</v>
      </c>
      <c r="P24" t="s">
        <v>282</v>
      </c>
      <c r="Q24" s="1">
        <v>45810</v>
      </c>
      <c r="R24" s="2">
        <v>45810.600624999999</v>
      </c>
      <c r="S24" s="4" t="s">
        <v>283</v>
      </c>
      <c r="T24" s="4" t="s">
        <v>284</v>
      </c>
      <c r="U24" s="4" t="s">
        <v>285</v>
      </c>
      <c r="V24">
        <v>93.744714413254698</v>
      </c>
      <c r="W24" s="4" t="s">
        <v>286</v>
      </c>
      <c r="X24">
        <v>93.744714413254698</v>
      </c>
      <c r="Y24">
        <v>0</v>
      </c>
      <c r="Z24" s="5" t="s">
        <v>287</v>
      </c>
      <c r="AA24" s="5" t="s">
        <v>288</v>
      </c>
      <c r="AB24" s="4" t="s">
        <v>289</v>
      </c>
      <c r="AC24" s="4" t="s">
        <v>290</v>
      </c>
      <c r="AD24">
        <v>30144.028223939698</v>
      </c>
      <c r="AE24" s="4" t="s">
        <v>291</v>
      </c>
      <c r="AF24">
        <v>-67.054472749279299</v>
      </c>
      <c r="AG24" t="s">
        <v>885</v>
      </c>
      <c r="AH24" t="s">
        <v>885</v>
      </c>
      <c r="AI24" t="s">
        <v>885</v>
      </c>
      <c r="AJ24" t="s">
        <v>885</v>
      </c>
      <c r="AK24" t="s">
        <v>885</v>
      </c>
      <c r="AL24" t="s">
        <v>885</v>
      </c>
      <c r="AM24" t="s">
        <v>885</v>
      </c>
      <c r="AO24" s="5" t="s">
        <v>288</v>
      </c>
      <c r="AP24">
        <v>30144.028223939698</v>
      </c>
      <c r="AQ24" s="4" t="s">
        <v>291</v>
      </c>
    </row>
    <row r="25" spans="1:43" x14ac:dyDescent="0.25">
      <c r="A25" t="s">
        <v>240</v>
      </c>
      <c r="B25" t="s">
        <v>241</v>
      </c>
      <c r="C25" t="s">
        <v>890</v>
      </c>
      <c r="D25" t="s">
        <v>292</v>
      </c>
      <c r="E25" s="1">
        <v>45821</v>
      </c>
      <c r="F25">
        <v>6</v>
      </c>
      <c r="G25">
        <v>13</v>
      </c>
      <c r="H25">
        <v>2025</v>
      </c>
      <c r="I25">
        <v>164</v>
      </c>
      <c r="J25">
        <v>-73.354399999999998</v>
      </c>
      <c r="K25">
        <v>169.6198</v>
      </c>
      <c r="L25">
        <v>4774.6071659999998</v>
      </c>
      <c r="M25">
        <v>2</v>
      </c>
      <c r="N25" s="2">
        <v>45821.464282407411</v>
      </c>
      <c r="O25" s="3">
        <v>0.46428240740740739</v>
      </c>
      <c r="P25" t="s">
        <v>293</v>
      </c>
      <c r="Q25" s="1">
        <v>45821</v>
      </c>
      <c r="R25" s="2">
        <v>45821.464282407411</v>
      </c>
      <c r="S25" s="4" t="s">
        <v>294</v>
      </c>
      <c r="T25" s="4" t="s">
        <v>295</v>
      </c>
      <c r="U25">
        <v>260.280517578125</v>
      </c>
      <c r="V25" s="4" t="s">
        <v>296</v>
      </c>
      <c r="W25" s="4" t="s">
        <v>297</v>
      </c>
      <c r="X25" s="4" t="s">
        <v>296</v>
      </c>
      <c r="Y25">
        <v>0</v>
      </c>
      <c r="Z25" s="5" t="s">
        <v>298</v>
      </c>
      <c r="AA25" s="5" t="s">
        <v>299</v>
      </c>
      <c r="AB25" s="4" t="s">
        <v>300</v>
      </c>
      <c r="AC25" s="4" t="s">
        <v>301</v>
      </c>
      <c r="AD25" s="4" t="s">
        <v>302</v>
      </c>
      <c r="AE25" s="4" t="s">
        <v>303</v>
      </c>
      <c r="AF25">
        <v>-58.945069254645702</v>
      </c>
      <c r="AG25" t="s">
        <v>885</v>
      </c>
      <c r="AH25" t="s">
        <v>885</v>
      </c>
      <c r="AI25" t="s">
        <v>885</v>
      </c>
      <c r="AJ25" t="s">
        <v>885</v>
      </c>
      <c r="AK25" t="s">
        <v>885</v>
      </c>
      <c r="AL25" t="s">
        <v>885</v>
      </c>
      <c r="AM25" t="s">
        <v>885</v>
      </c>
      <c r="AO25" s="5" t="s">
        <v>299</v>
      </c>
      <c r="AP25" s="4" t="s">
        <v>302</v>
      </c>
      <c r="AQ25" s="4" t="s">
        <v>303</v>
      </c>
    </row>
    <row r="26" spans="1:43" x14ac:dyDescent="0.25">
      <c r="A26" t="s">
        <v>240</v>
      </c>
      <c r="B26" t="s">
        <v>241</v>
      </c>
      <c r="C26" t="s">
        <v>890</v>
      </c>
      <c r="D26" t="s">
        <v>304</v>
      </c>
      <c r="E26" s="1">
        <v>45838</v>
      </c>
      <c r="F26">
        <v>6</v>
      </c>
      <c r="G26">
        <v>30</v>
      </c>
      <c r="H26">
        <v>2025</v>
      </c>
      <c r="I26">
        <v>181</v>
      </c>
      <c r="J26">
        <v>-73.354399999999998</v>
      </c>
      <c r="K26">
        <v>169.6198</v>
      </c>
      <c r="L26">
        <v>3228.7296900000001</v>
      </c>
      <c r="M26">
        <v>5</v>
      </c>
      <c r="N26" s="2">
        <v>45838.570937500001</v>
      </c>
      <c r="O26" s="3">
        <v>0.57093749999999999</v>
      </c>
      <c r="P26" t="s">
        <v>305</v>
      </c>
      <c r="Q26" s="1">
        <v>45838</v>
      </c>
      <c r="R26" s="2">
        <v>45838.570937500001</v>
      </c>
      <c r="S26" s="4" t="s">
        <v>306</v>
      </c>
      <c r="T26" s="4" t="s">
        <v>307</v>
      </c>
      <c r="U26" s="4" t="s">
        <v>308</v>
      </c>
      <c r="V26">
        <v>92.838541393599201</v>
      </c>
      <c r="W26" s="4" t="s">
        <v>309</v>
      </c>
      <c r="X26">
        <v>92.838541393599201</v>
      </c>
      <c r="Y26">
        <v>0</v>
      </c>
      <c r="Z26" s="5" t="s">
        <v>310</v>
      </c>
      <c r="AA26" s="5" t="s">
        <v>311</v>
      </c>
      <c r="AB26" s="4" t="s">
        <v>312</v>
      </c>
      <c r="AC26" s="4" t="s">
        <v>313</v>
      </c>
      <c r="AD26" s="4" t="s">
        <v>314</v>
      </c>
      <c r="AE26" s="4" t="s">
        <v>315</v>
      </c>
      <c r="AF26">
        <v>-67.168251577136203</v>
      </c>
      <c r="AG26" t="s">
        <v>885</v>
      </c>
      <c r="AH26" t="s">
        <v>885</v>
      </c>
      <c r="AI26" t="s">
        <v>885</v>
      </c>
      <c r="AJ26" t="s">
        <v>885</v>
      </c>
      <c r="AK26" t="s">
        <v>885</v>
      </c>
      <c r="AL26" t="s">
        <v>885</v>
      </c>
      <c r="AM26" t="s">
        <v>885</v>
      </c>
      <c r="AO26" s="5" t="s">
        <v>311</v>
      </c>
      <c r="AP26" s="4" t="s">
        <v>314</v>
      </c>
      <c r="AQ26" s="4" t="s">
        <v>315</v>
      </c>
    </row>
    <row r="27" spans="1:43" x14ac:dyDescent="0.25">
      <c r="A27" t="s">
        <v>240</v>
      </c>
      <c r="B27" t="s">
        <v>241</v>
      </c>
      <c r="C27" t="s">
        <v>890</v>
      </c>
      <c r="D27" t="s">
        <v>316</v>
      </c>
      <c r="E27" s="1">
        <v>45849</v>
      </c>
      <c r="F27">
        <v>7</v>
      </c>
      <c r="G27">
        <v>11</v>
      </c>
      <c r="H27">
        <v>2025</v>
      </c>
      <c r="I27">
        <v>192</v>
      </c>
      <c r="J27">
        <v>-73.354399999999998</v>
      </c>
      <c r="K27">
        <v>169.6198</v>
      </c>
      <c r="L27">
        <v>2559.9798839999999</v>
      </c>
      <c r="M27">
        <v>5</v>
      </c>
      <c r="N27" s="2">
        <v>45849.527337962965</v>
      </c>
      <c r="O27" s="3">
        <v>0.52733796296296298</v>
      </c>
      <c r="P27" t="s">
        <v>317</v>
      </c>
      <c r="Q27" s="1">
        <v>45849</v>
      </c>
      <c r="R27" s="2">
        <v>45849.527337962965</v>
      </c>
      <c r="S27" s="4" t="s">
        <v>318</v>
      </c>
      <c r="T27" s="4" t="s">
        <v>319</v>
      </c>
      <c r="U27" s="4" t="s">
        <v>321</v>
      </c>
      <c r="V27" s="4" t="s">
        <v>320</v>
      </c>
      <c r="W27" s="4" t="s">
        <v>322</v>
      </c>
      <c r="X27" s="4" t="s">
        <v>320</v>
      </c>
      <c r="Y27">
        <v>0</v>
      </c>
      <c r="Z27" s="5" t="s">
        <v>323</v>
      </c>
      <c r="AA27" s="5" t="s">
        <v>324</v>
      </c>
      <c r="AB27">
        <v>7.1217195420710802</v>
      </c>
      <c r="AC27" s="4" t="s">
        <v>325</v>
      </c>
      <c r="AD27" s="4" t="s">
        <v>326</v>
      </c>
      <c r="AE27" s="4" t="s">
        <v>327</v>
      </c>
      <c r="AF27">
        <v>-67.024588281209503</v>
      </c>
      <c r="AG27" t="s">
        <v>885</v>
      </c>
      <c r="AH27" t="s">
        <v>885</v>
      </c>
      <c r="AI27" t="s">
        <v>885</v>
      </c>
      <c r="AJ27" t="s">
        <v>885</v>
      </c>
      <c r="AK27" t="s">
        <v>885</v>
      </c>
      <c r="AL27" t="s">
        <v>885</v>
      </c>
      <c r="AM27" t="s">
        <v>885</v>
      </c>
      <c r="AO27" s="5" t="s">
        <v>324</v>
      </c>
      <c r="AP27" s="4" t="s">
        <v>326</v>
      </c>
      <c r="AQ27" s="4" t="s">
        <v>327</v>
      </c>
    </row>
    <row r="28" spans="1:43" x14ac:dyDescent="0.25">
      <c r="A28" t="s">
        <v>240</v>
      </c>
      <c r="B28" t="s">
        <v>241</v>
      </c>
      <c r="C28" t="s">
        <v>890</v>
      </c>
      <c r="D28" t="s">
        <v>328</v>
      </c>
      <c r="E28" s="1">
        <v>45862</v>
      </c>
      <c r="F28">
        <v>7</v>
      </c>
      <c r="G28">
        <v>24</v>
      </c>
      <c r="H28">
        <v>2025</v>
      </c>
      <c r="I28">
        <v>205</v>
      </c>
      <c r="J28">
        <v>-73.354399999999998</v>
      </c>
      <c r="K28">
        <v>169.6198</v>
      </c>
      <c r="L28">
        <v>2078.9469239999999</v>
      </c>
      <c r="M28">
        <v>5</v>
      </c>
      <c r="N28" s="2">
        <v>45862.582546296297</v>
      </c>
      <c r="O28" s="3">
        <v>0.58254629629629628</v>
      </c>
      <c r="P28" t="s">
        <v>329</v>
      </c>
      <c r="Q28" s="1">
        <v>45862</v>
      </c>
      <c r="R28" s="2">
        <v>45862.582546296297</v>
      </c>
      <c r="S28" s="4" t="s">
        <v>330</v>
      </c>
      <c r="T28" s="4" t="s">
        <v>331</v>
      </c>
      <c r="U28" s="4" t="s">
        <v>333</v>
      </c>
      <c r="V28" s="4" t="s">
        <v>332</v>
      </c>
      <c r="W28" s="4" t="s">
        <v>334</v>
      </c>
      <c r="X28" s="4" t="s">
        <v>332</v>
      </c>
      <c r="Y28">
        <v>0</v>
      </c>
      <c r="Z28" s="5" t="s">
        <v>335</v>
      </c>
      <c r="AA28" s="5" t="s">
        <v>336</v>
      </c>
      <c r="AB28" s="4" t="s">
        <v>337</v>
      </c>
      <c r="AC28" s="4" t="s">
        <v>338</v>
      </c>
      <c r="AD28" s="4" t="s">
        <v>339</v>
      </c>
      <c r="AE28" s="4" t="s">
        <v>340</v>
      </c>
      <c r="AF28">
        <v>-75.509549376727506</v>
      </c>
      <c r="AG28" t="s">
        <v>885</v>
      </c>
      <c r="AH28" t="s">
        <v>885</v>
      </c>
      <c r="AI28" t="s">
        <v>885</v>
      </c>
      <c r="AJ28" t="s">
        <v>885</v>
      </c>
      <c r="AK28" t="s">
        <v>885</v>
      </c>
      <c r="AL28" t="s">
        <v>885</v>
      </c>
      <c r="AM28" t="s">
        <v>885</v>
      </c>
      <c r="AO28" s="5" t="s">
        <v>336</v>
      </c>
      <c r="AP28" s="4" t="s">
        <v>339</v>
      </c>
      <c r="AQ28" s="4" t="s">
        <v>340</v>
      </c>
    </row>
    <row r="29" spans="1:43" x14ac:dyDescent="0.25">
      <c r="A29" t="s">
        <v>240</v>
      </c>
      <c r="B29" t="s">
        <v>241</v>
      </c>
      <c r="C29" t="s">
        <v>890</v>
      </c>
      <c r="D29" t="s">
        <v>341</v>
      </c>
      <c r="E29" s="1">
        <v>45875</v>
      </c>
      <c r="F29">
        <v>8</v>
      </c>
      <c r="G29">
        <v>6</v>
      </c>
      <c r="H29">
        <v>2025</v>
      </c>
      <c r="I29">
        <v>218</v>
      </c>
      <c r="J29">
        <v>-73.354399999999998</v>
      </c>
      <c r="K29">
        <v>169.6198</v>
      </c>
      <c r="L29">
        <v>1827.9402729999999</v>
      </c>
      <c r="M29">
        <v>5</v>
      </c>
      <c r="N29" s="2">
        <v>45875.932615740741</v>
      </c>
      <c r="O29" s="3">
        <v>0.93261574074074072</v>
      </c>
      <c r="P29" t="s">
        <v>342</v>
      </c>
      <c r="Q29" s="1">
        <v>45875</v>
      </c>
      <c r="R29" s="2">
        <v>45875.932615740741</v>
      </c>
      <c r="S29" s="4" t="s">
        <v>343</v>
      </c>
      <c r="T29" s="4" t="s">
        <v>344</v>
      </c>
      <c r="U29">
        <v>241.077392578125</v>
      </c>
      <c r="V29" s="4" t="s">
        <v>345</v>
      </c>
      <c r="W29">
        <v>72.682421036247206</v>
      </c>
      <c r="X29" s="4" t="s">
        <v>345</v>
      </c>
      <c r="Y29">
        <v>0</v>
      </c>
      <c r="Z29" s="5" t="s">
        <v>346</v>
      </c>
      <c r="AA29" s="5" t="s">
        <v>347</v>
      </c>
      <c r="AB29" s="4" t="s">
        <v>348</v>
      </c>
      <c r="AC29" s="4" t="s">
        <v>349</v>
      </c>
      <c r="AD29" s="4" t="s">
        <v>350</v>
      </c>
      <c r="AE29">
        <v>11277.159557357099</v>
      </c>
      <c r="AF29">
        <v>-75.0837445666143</v>
      </c>
      <c r="AG29" t="s">
        <v>885</v>
      </c>
      <c r="AH29" t="s">
        <v>885</v>
      </c>
      <c r="AI29" t="s">
        <v>885</v>
      </c>
      <c r="AJ29" t="s">
        <v>885</v>
      </c>
      <c r="AK29" t="s">
        <v>885</v>
      </c>
      <c r="AL29" t="s">
        <v>885</v>
      </c>
      <c r="AM29" t="s">
        <v>885</v>
      </c>
      <c r="AO29" s="5" t="s">
        <v>347</v>
      </c>
      <c r="AP29" s="4" t="s">
        <v>350</v>
      </c>
      <c r="AQ29">
        <v>11277.159557357099</v>
      </c>
    </row>
    <row r="30" spans="1:43" x14ac:dyDescent="0.25">
      <c r="A30" t="s">
        <v>240</v>
      </c>
      <c r="B30" t="s">
        <v>241</v>
      </c>
      <c r="C30" t="s">
        <v>890</v>
      </c>
      <c r="D30" t="s">
        <v>351</v>
      </c>
      <c r="E30" s="1">
        <v>45890</v>
      </c>
      <c r="F30">
        <v>8</v>
      </c>
      <c r="G30">
        <v>21</v>
      </c>
      <c r="H30">
        <v>2025</v>
      </c>
      <c r="I30">
        <v>233</v>
      </c>
      <c r="J30">
        <v>-73.354399999999998</v>
      </c>
      <c r="K30">
        <v>169.6198</v>
      </c>
      <c r="L30">
        <v>1867.6071870000001</v>
      </c>
      <c r="M30">
        <v>5</v>
      </c>
      <c r="N30" s="2">
        <v>45890.874479166669</v>
      </c>
      <c r="O30" s="3">
        <v>0.8744791666666667</v>
      </c>
      <c r="P30" t="s">
        <v>352</v>
      </c>
      <c r="Q30" s="1">
        <v>45890</v>
      </c>
      <c r="R30" s="2">
        <v>45890.874479166669</v>
      </c>
      <c r="S30" s="4" t="s">
        <v>353</v>
      </c>
      <c r="T30" s="4" t="s">
        <v>354</v>
      </c>
      <c r="U30" s="4" t="s">
        <v>356</v>
      </c>
      <c r="V30" s="4" t="s">
        <v>355</v>
      </c>
      <c r="W30" s="4" t="s">
        <v>357</v>
      </c>
      <c r="X30" s="4" t="s">
        <v>355</v>
      </c>
      <c r="Y30">
        <v>0</v>
      </c>
      <c r="Z30" s="5" t="s">
        <v>358</v>
      </c>
      <c r="AA30" s="5" t="s">
        <v>359</v>
      </c>
      <c r="AB30" s="4" t="s">
        <v>360</v>
      </c>
      <c r="AC30" s="4" t="s">
        <v>361</v>
      </c>
      <c r="AD30" s="4" t="s">
        <v>362</v>
      </c>
      <c r="AE30" s="4" t="s">
        <v>363</v>
      </c>
      <c r="AF30">
        <v>-62.460824530025398</v>
      </c>
      <c r="AG30" t="s">
        <v>885</v>
      </c>
      <c r="AH30" t="s">
        <v>885</v>
      </c>
      <c r="AI30" t="s">
        <v>885</v>
      </c>
      <c r="AJ30" t="s">
        <v>885</v>
      </c>
      <c r="AK30" t="s">
        <v>885</v>
      </c>
      <c r="AL30" t="s">
        <v>885</v>
      </c>
      <c r="AM30" t="s">
        <v>885</v>
      </c>
      <c r="AO30" s="5" t="s">
        <v>359</v>
      </c>
      <c r="AP30" s="4" t="s">
        <v>362</v>
      </c>
      <c r="AQ30" s="4" t="s">
        <v>363</v>
      </c>
    </row>
    <row r="31" spans="1:43" x14ac:dyDescent="0.25">
      <c r="A31" t="s">
        <v>240</v>
      </c>
      <c r="B31" t="s">
        <v>241</v>
      </c>
      <c r="C31" t="s">
        <v>1071</v>
      </c>
      <c r="D31" t="s">
        <v>751</v>
      </c>
      <c r="E31" s="1">
        <v>45925</v>
      </c>
      <c r="F31">
        <v>9</v>
      </c>
      <c r="G31">
        <v>25</v>
      </c>
      <c r="H31">
        <v>2025</v>
      </c>
      <c r="I31">
        <v>268</v>
      </c>
      <c r="J31">
        <v>-73.349999999999994</v>
      </c>
      <c r="K31">
        <v>169.61</v>
      </c>
      <c r="L31">
        <v>16993.009330000001</v>
      </c>
      <c r="M31">
        <v>5</v>
      </c>
      <c r="N31" s="2">
        <v>45925.006944444445</v>
      </c>
      <c r="O31" s="3">
        <v>7.2569444444444443E-3</v>
      </c>
      <c r="P31" t="s">
        <v>779</v>
      </c>
      <c r="Q31" s="1">
        <v>45925</v>
      </c>
      <c r="R31" s="2">
        <v>45925.006944444445</v>
      </c>
      <c r="S31" s="4" t="s">
        <v>780</v>
      </c>
      <c r="T31" s="4" t="s">
        <v>781</v>
      </c>
      <c r="U31" s="4" t="s">
        <v>782</v>
      </c>
      <c r="V31" s="4" t="s">
        <v>783</v>
      </c>
      <c r="W31" s="4" t="s">
        <v>784</v>
      </c>
      <c r="X31" s="4" t="s">
        <v>783</v>
      </c>
      <c r="Y31" s="4" t="s">
        <v>785</v>
      </c>
      <c r="Z31" s="4" t="s">
        <v>786</v>
      </c>
      <c r="AA31">
        <v>88794.036749999999</v>
      </c>
      <c r="AB31" s="4" t="s">
        <v>788</v>
      </c>
      <c r="AC31" s="4" t="s">
        <v>789</v>
      </c>
      <c r="AD31" s="4" t="s">
        <v>797</v>
      </c>
      <c r="AE31" s="4" t="s">
        <v>798</v>
      </c>
      <c r="AF31">
        <v>-51.758881770000002</v>
      </c>
      <c r="AG31">
        <v>12409.807796953</v>
      </c>
      <c r="AH31">
        <v>2617.7321655516898</v>
      </c>
      <c r="AI31">
        <v>8403.5565450478098</v>
      </c>
      <c r="AJ31">
        <v>8882.6334616899694</v>
      </c>
      <c r="AK31">
        <v>12045.1664353125</v>
      </c>
      <c r="AL31">
        <v>17171.653387886301</v>
      </c>
      <c r="AM31">
        <v>18557.2587948609</v>
      </c>
      <c r="AN31" t="s">
        <v>753</v>
      </c>
      <c r="AO31">
        <f t="shared" ref="AO31:AO33" si="0">AG31</f>
        <v>12409.807796953</v>
      </c>
      <c r="AP31">
        <f t="shared" ref="AP31:AP33" si="1">AG31+AH31</f>
        <v>15027.53996250469</v>
      </c>
      <c r="AQ31">
        <f t="shared" ref="AQ31:AQ33" si="2">AG31-AH31</f>
        <v>9792.0756314013106</v>
      </c>
    </row>
    <row r="32" spans="1:43" x14ac:dyDescent="0.25">
      <c r="A32" t="s">
        <v>240</v>
      </c>
      <c r="B32" t="s">
        <v>241</v>
      </c>
      <c r="C32" t="s">
        <v>1071</v>
      </c>
      <c r="D32" t="s">
        <v>751</v>
      </c>
      <c r="E32" s="1">
        <v>45925</v>
      </c>
      <c r="F32">
        <v>9</v>
      </c>
      <c r="G32">
        <v>25</v>
      </c>
      <c r="H32">
        <v>2025</v>
      </c>
      <c r="I32">
        <v>268</v>
      </c>
      <c r="J32">
        <v>-73.349999999999994</v>
      </c>
      <c r="K32">
        <v>169.61</v>
      </c>
      <c r="L32">
        <v>5566.7639849999996</v>
      </c>
      <c r="M32">
        <v>5</v>
      </c>
      <c r="N32" s="2">
        <v>45925.006944444445</v>
      </c>
      <c r="O32" s="3">
        <v>7.2569444444444443E-3</v>
      </c>
      <c r="P32" t="s">
        <v>779</v>
      </c>
      <c r="Q32" s="1">
        <v>45925</v>
      </c>
      <c r="R32" s="2">
        <v>45925.006944444445</v>
      </c>
      <c r="S32" s="4" t="s">
        <v>780</v>
      </c>
      <c r="T32" s="4" t="s">
        <v>781</v>
      </c>
      <c r="U32" s="4" t="s">
        <v>782</v>
      </c>
      <c r="V32" s="4" t="s">
        <v>783</v>
      </c>
      <c r="W32" s="4" t="s">
        <v>784</v>
      </c>
      <c r="X32" s="4" t="s">
        <v>783</v>
      </c>
      <c r="Y32" s="4" t="s">
        <v>785</v>
      </c>
      <c r="Z32" s="4" t="s">
        <v>786</v>
      </c>
      <c r="AA32" s="4" t="s">
        <v>787</v>
      </c>
      <c r="AB32" s="4" t="s">
        <v>788</v>
      </c>
      <c r="AC32" s="4" t="s">
        <v>789</v>
      </c>
      <c r="AD32" s="4" t="s">
        <v>790</v>
      </c>
      <c r="AE32" s="4" t="s">
        <v>791</v>
      </c>
      <c r="AF32">
        <v>-51.758881770000002</v>
      </c>
      <c r="AG32">
        <v>8850.1174659997196</v>
      </c>
      <c r="AH32">
        <v>2638.1451956722299</v>
      </c>
      <c r="AI32">
        <v>4942.1663981546699</v>
      </c>
      <c r="AJ32">
        <v>5386.8200563152304</v>
      </c>
      <c r="AK32">
        <v>8448.1763279779407</v>
      </c>
      <c r="AL32">
        <v>13713.9701110399</v>
      </c>
      <c r="AM32">
        <v>15076.1020269823</v>
      </c>
      <c r="AN32" t="s">
        <v>767</v>
      </c>
      <c r="AO32">
        <f t="shared" si="0"/>
        <v>8850.1174659997196</v>
      </c>
      <c r="AP32">
        <f t="shared" si="1"/>
        <v>11488.26266167195</v>
      </c>
      <c r="AQ32">
        <f t="shared" si="2"/>
        <v>6211.9722703274892</v>
      </c>
    </row>
    <row r="33" spans="1:43" x14ac:dyDescent="0.25">
      <c r="A33" t="s">
        <v>240</v>
      </c>
      <c r="B33" t="s">
        <v>241</v>
      </c>
      <c r="C33" t="s">
        <v>1071</v>
      </c>
      <c r="D33" t="s">
        <v>751</v>
      </c>
      <c r="E33" s="1">
        <v>45925</v>
      </c>
      <c r="F33">
        <v>9</v>
      </c>
      <c r="G33">
        <v>25</v>
      </c>
      <c r="H33">
        <v>2025</v>
      </c>
      <c r="I33">
        <v>268</v>
      </c>
      <c r="J33">
        <v>-73.349999999999994</v>
      </c>
      <c r="K33">
        <v>169.61</v>
      </c>
      <c r="L33">
        <v>11426.245349999999</v>
      </c>
      <c r="M33">
        <v>5</v>
      </c>
      <c r="N33" s="2">
        <v>45925.006944444445</v>
      </c>
      <c r="O33" s="3">
        <v>7.2569444444444443E-3</v>
      </c>
      <c r="P33" t="s">
        <v>779</v>
      </c>
      <c r="Q33" s="1">
        <v>45925</v>
      </c>
      <c r="R33" s="2">
        <v>45925.006944444445</v>
      </c>
      <c r="S33" s="4" t="s">
        <v>780</v>
      </c>
      <c r="T33" s="4" t="s">
        <v>781</v>
      </c>
      <c r="U33" s="4" t="s">
        <v>782</v>
      </c>
      <c r="V33" s="4" t="s">
        <v>783</v>
      </c>
      <c r="W33" s="4" t="s">
        <v>784</v>
      </c>
      <c r="X33" s="4" t="s">
        <v>783</v>
      </c>
      <c r="Y33" s="4" t="s">
        <v>785</v>
      </c>
      <c r="Z33" s="4" t="s">
        <v>786</v>
      </c>
      <c r="AA33" s="4" t="s">
        <v>793</v>
      </c>
      <c r="AB33" s="4" t="s">
        <v>788</v>
      </c>
      <c r="AC33" s="4" t="s">
        <v>789</v>
      </c>
      <c r="AD33" s="4" t="s">
        <v>794</v>
      </c>
      <c r="AE33" s="4" t="s">
        <v>795</v>
      </c>
      <c r="AF33">
        <v>-51.758881770000002</v>
      </c>
      <c r="AG33">
        <v>10089.035478232399</v>
      </c>
      <c r="AH33">
        <v>2369.1238350262702</v>
      </c>
      <c r="AI33">
        <v>6495.6436498471603</v>
      </c>
      <c r="AJ33">
        <v>6896.1753114216999</v>
      </c>
      <c r="AK33">
        <v>9745.5199885107104</v>
      </c>
      <c r="AL33">
        <v>14444.3366170797</v>
      </c>
      <c r="AM33">
        <v>15700.480340203399</v>
      </c>
      <c r="AN33" t="s">
        <v>769</v>
      </c>
      <c r="AO33">
        <f t="shared" si="0"/>
        <v>10089.035478232399</v>
      </c>
      <c r="AP33">
        <f t="shared" si="1"/>
        <v>12458.159313258669</v>
      </c>
      <c r="AQ33">
        <f t="shared" si="2"/>
        <v>7719.9116432061292</v>
      </c>
    </row>
    <row r="34" spans="1:43" x14ac:dyDescent="0.25">
      <c r="A34" t="s">
        <v>364</v>
      </c>
      <c r="B34" t="s">
        <v>365</v>
      </c>
      <c r="C34" t="s">
        <v>890</v>
      </c>
      <c r="D34" t="s">
        <v>366</v>
      </c>
      <c r="E34" s="1">
        <v>45771</v>
      </c>
      <c r="F34">
        <v>4</v>
      </c>
      <c r="G34">
        <v>24</v>
      </c>
      <c r="H34">
        <v>2025</v>
      </c>
      <c r="I34">
        <v>114</v>
      </c>
      <c r="J34">
        <v>-77.448746</v>
      </c>
      <c r="K34">
        <v>169.277041</v>
      </c>
      <c r="L34">
        <v>420.25565499999999</v>
      </c>
      <c r="M34">
        <v>5</v>
      </c>
      <c r="N34" s="2">
        <v>45771.856874999998</v>
      </c>
      <c r="O34" s="3">
        <v>0.85687500000000005</v>
      </c>
      <c r="P34" t="s">
        <v>367</v>
      </c>
      <c r="Q34" s="1">
        <v>45771</v>
      </c>
      <c r="R34" s="2">
        <v>45771.856874999998</v>
      </c>
      <c r="S34" s="4" t="s">
        <v>368</v>
      </c>
      <c r="T34" s="4" t="s">
        <v>369</v>
      </c>
      <c r="U34" s="4" t="s">
        <v>370</v>
      </c>
      <c r="V34">
        <v>95.504788399466804</v>
      </c>
      <c r="W34">
        <v>82.421290161217897</v>
      </c>
      <c r="X34">
        <v>95.504788399466804</v>
      </c>
      <c r="Y34">
        <v>0</v>
      </c>
      <c r="Z34" s="5" t="s">
        <v>371</v>
      </c>
      <c r="AA34" s="5" t="s">
        <v>372</v>
      </c>
      <c r="AB34" s="4" t="s">
        <v>373</v>
      </c>
      <c r="AC34" s="4" t="s">
        <v>374</v>
      </c>
      <c r="AD34" s="4" t="s">
        <v>375</v>
      </c>
      <c r="AE34" s="4" t="s">
        <v>376</v>
      </c>
      <c r="AF34">
        <v>-61.825504477451602</v>
      </c>
      <c r="AG34" t="s">
        <v>885</v>
      </c>
      <c r="AH34" t="s">
        <v>885</v>
      </c>
      <c r="AI34" t="s">
        <v>885</v>
      </c>
      <c r="AJ34" t="s">
        <v>885</v>
      </c>
      <c r="AK34" t="s">
        <v>885</v>
      </c>
      <c r="AL34" t="s">
        <v>885</v>
      </c>
      <c r="AM34" t="s">
        <v>885</v>
      </c>
      <c r="AO34" s="5" t="s">
        <v>372</v>
      </c>
      <c r="AP34" s="4" t="s">
        <v>375</v>
      </c>
      <c r="AQ34" s="4" t="s">
        <v>376</v>
      </c>
    </row>
    <row r="35" spans="1:43" x14ac:dyDescent="0.25">
      <c r="A35" t="s">
        <v>364</v>
      </c>
      <c r="B35" t="s">
        <v>365</v>
      </c>
      <c r="C35" t="s">
        <v>890</v>
      </c>
      <c r="D35" t="s">
        <v>377</v>
      </c>
      <c r="E35" s="1">
        <v>45799</v>
      </c>
      <c r="F35">
        <v>5</v>
      </c>
      <c r="G35">
        <v>22</v>
      </c>
      <c r="H35">
        <v>2025</v>
      </c>
      <c r="I35">
        <v>142</v>
      </c>
      <c r="J35">
        <v>-77.448746</v>
      </c>
      <c r="K35">
        <v>169.277041</v>
      </c>
      <c r="L35">
        <v>578.06843500000002</v>
      </c>
      <c r="M35">
        <v>5</v>
      </c>
      <c r="N35" s="2">
        <v>45799.864699074074</v>
      </c>
      <c r="O35" s="3">
        <v>0.86469907407407409</v>
      </c>
      <c r="P35" t="s">
        <v>378</v>
      </c>
      <c r="Q35" s="1">
        <v>45799</v>
      </c>
      <c r="R35" s="2">
        <v>45799.864699074074</v>
      </c>
      <c r="S35" s="4" t="s">
        <v>379</v>
      </c>
      <c r="T35" s="4" t="s">
        <v>380</v>
      </c>
      <c r="U35" s="4" t="s">
        <v>382</v>
      </c>
      <c r="V35" s="4" t="s">
        <v>381</v>
      </c>
      <c r="W35" s="4" t="s">
        <v>383</v>
      </c>
      <c r="X35" s="4" t="s">
        <v>381</v>
      </c>
      <c r="Y35">
        <v>0</v>
      </c>
      <c r="Z35" s="5" t="s">
        <v>384</v>
      </c>
      <c r="AA35" s="5" t="s">
        <v>385</v>
      </c>
      <c r="AB35" s="4" t="s">
        <v>386</v>
      </c>
      <c r="AC35" s="4" t="s">
        <v>387</v>
      </c>
      <c r="AD35">
        <v>4929.0932216377796</v>
      </c>
      <c r="AE35" s="4" t="s">
        <v>388</v>
      </c>
      <c r="AF35">
        <v>-85.716002726941198</v>
      </c>
      <c r="AG35" t="s">
        <v>885</v>
      </c>
      <c r="AH35" t="s">
        <v>885</v>
      </c>
      <c r="AI35" t="s">
        <v>885</v>
      </c>
      <c r="AJ35" t="s">
        <v>885</v>
      </c>
      <c r="AK35" t="s">
        <v>885</v>
      </c>
      <c r="AL35" t="s">
        <v>885</v>
      </c>
      <c r="AM35" t="s">
        <v>885</v>
      </c>
      <c r="AO35" s="5" t="s">
        <v>385</v>
      </c>
      <c r="AP35">
        <v>4929.0932216377796</v>
      </c>
      <c r="AQ35" s="4" t="s">
        <v>388</v>
      </c>
    </row>
    <row r="36" spans="1:43" x14ac:dyDescent="0.25">
      <c r="A36" t="s">
        <v>364</v>
      </c>
      <c r="B36" t="s">
        <v>365</v>
      </c>
      <c r="C36" t="s">
        <v>890</v>
      </c>
      <c r="D36" t="s">
        <v>389</v>
      </c>
      <c r="E36" s="1">
        <v>45822</v>
      </c>
      <c r="F36">
        <v>6</v>
      </c>
      <c r="G36">
        <v>14</v>
      </c>
      <c r="H36">
        <v>2025</v>
      </c>
      <c r="I36">
        <v>165</v>
      </c>
      <c r="J36">
        <v>-77.448746</v>
      </c>
      <c r="K36">
        <v>169.277041</v>
      </c>
      <c r="L36">
        <v>1388.5368329999999</v>
      </c>
      <c r="M36">
        <v>5</v>
      </c>
      <c r="N36" s="2">
        <v>45822.914976851855</v>
      </c>
      <c r="O36" s="3">
        <v>0.91497685185185185</v>
      </c>
      <c r="P36" t="s">
        <v>390</v>
      </c>
      <c r="Q36" s="1">
        <v>45822</v>
      </c>
      <c r="R36" s="2">
        <v>45822.914976851855</v>
      </c>
      <c r="S36" s="4" t="s">
        <v>391</v>
      </c>
      <c r="T36" s="4" t="s">
        <v>392</v>
      </c>
      <c r="U36" s="4" t="s">
        <v>394</v>
      </c>
      <c r="V36" s="4" t="s">
        <v>393</v>
      </c>
      <c r="W36" s="4" t="s">
        <v>395</v>
      </c>
      <c r="X36" s="4" t="s">
        <v>393</v>
      </c>
      <c r="Y36">
        <v>0</v>
      </c>
      <c r="Z36" s="5" t="s">
        <v>396</v>
      </c>
      <c r="AA36" s="5" t="s">
        <v>397</v>
      </c>
      <c r="AB36" s="4" t="s">
        <v>398</v>
      </c>
      <c r="AC36" s="4" t="s">
        <v>399</v>
      </c>
      <c r="AD36" s="4" t="s">
        <v>400</v>
      </c>
      <c r="AE36" s="4" t="s">
        <v>401</v>
      </c>
      <c r="AF36">
        <v>-54.102001381038001</v>
      </c>
      <c r="AG36" t="s">
        <v>885</v>
      </c>
      <c r="AH36" t="s">
        <v>885</v>
      </c>
      <c r="AI36" t="s">
        <v>885</v>
      </c>
      <c r="AJ36" t="s">
        <v>885</v>
      </c>
      <c r="AK36" t="s">
        <v>885</v>
      </c>
      <c r="AL36" t="s">
        <v>885</v>
      </c>
      <c r="AM36" t="s">
        <v>885</v>
      </c>
      <c r="AO36" s="5" t="s">
        <v>397</v>
      </c>
      <c r="AP36" s="4" t="s">
        <v>400</v>
      </c>
      <c r="AQ36" s="4" t="s">
        <v>401</v>
      </c>
    </row>
    <row r="37" spans="1:43" x14ac:dyDescent="0.25">
      <c r="A37" t="s">
        <v>364</v>
      </c>
      <c r="B37" t="s">
        <v>365</v>
      </c>
      <c r="C37" t="s">
        <v>890</v>
      </c>
      <c r="D37" t="s">
        <v>402</v>
      </c>
      <c r="E37" s="1">
        <v>45838</v>
      </c>
      <c r="F37">
        <v>6</v>
      </c>
      <c r="G37">
        <v>30</v>
      </c>
      <c r="H37">
        <v>2025</v>
      </c>
      <c r="I37">
        <v>181</v>
      </c>
      <c r="J37">
        <v>-77.448746</v>
      </c>
      <c r="K37">
        <v>169.277041</v>
      </c>
      <c r="L37">
        <v>364.49956100000003</v>
      </c>
      <c r="M37">
        <v>5</v>
      </c>
      <c r="N37" s="2">
        <v>45838.916759259257</v>
      </c>
      <c r="O37" s="3">
        <v>0.91675925925925927</v>
      </c>
      <c r="P37" t="s">
        <v>403</v>
      </c>
      <c r="Q37" s="1">
        <v>45838</v>
      </c>
      <c r="R37" s="2">
        <v>45838.916759259257</v>
      </c>
      <c r="S37" s="4" t="s">
        <v>404</v>
      </c>
      <c r="T37" s="4" t="s">
        <v>405</v>
      </c>
      <c r="U37" s="4" t="s">
        <v>407</v>
      </c>
      <c r="V37" s="4" t="s">
        <v>406</v>
      </c>
      <c r="W37" s="4" t="s">
        <v>408</v>
      </c>
      <c r="X37" s="4" t="s">
        <v>406</v>
      </c>
      <c r="Y37">
        <v>0</v>
      </c>
      <c r="Z37" s="5" t="s">
        <v>409</v>
      </c>
      <c r="AA37" s="5" t="s">
        <v>410</v>
      </c>
      <c r="AB37" s="4" t="s">
        <v>411</v>
      </c>
      <c r="AC37" s="4" t="s">
        <v>412</v>
      </c>
      <c r="AD37" s="4" t="s">
        <v>413</v>
      </c>
      <c r="AE37" s="4" t="s">
        <v>414</v>
      </c>
      <c r="AF37">
        <v>-70.556023465754905</v>
      </c>
      <c r="AG37" t="s">
        <v>885</v>
      </c>
      <c r="AH37" t="s">
        <v>885</v>
      </c>
      <c r="AI37" t="s">
        <v>885</v>
      </c>
      <c r="AJ37" t="s">
        <v>885</v>
      </c>
      <c r="AK37" t="s">
        <v>885</v>
      </c>
      <c r="AL37" t="s">
        <v>885</v>
      </c>
      <c r="AM37" t="s">
        <v>885</v>
      </c>
      <c r="AO37" s="5" t="s">
        <v>410</v>
      </c>
      <c r="AP37" s="4" t="s">
        <v>413</v>
      </c>
      <c r="AQ37" s="4" t="s">
        <v>414</v>
      </c>
    </row>
    <row r="38" spans="1:43" s="7" customFormat="1" x14ac:dyDescent="0.25">
      <c r="A38" s="7" t="s">
        <v>364</v>
      </c>
      <c r="B38" s="7" t="s">
        <v>365</v>
      </c>
      <c r="C38" s="7" t="s">
        <v>890</v>
      </c>
      <c r="D38" s="7" t="s">
        <v>415</v>
      </c>
      <c r="E38" s="8">
        <v>45856</v>
      </c>
      <c r="F38" s="7">
        <v>7</v>
      </c>
      <c r="G38" s="7">
        <v>18</v>
      </c>
      <c r="H38" s="7">
        <v>2025</v>
      </c>
      <c r="I38" s="7">
        <v>199</v>
      </c>
      <c r="J38" s="7">
        <v>-77.448746</v>
      </c>
      <c r="K38" s="7">
        <v>169.277041</v>
      </c>
      <c r="L38" s="7">
        <v>365.68065200000001</v>
      </c>
      <c r="M38" s="7">
        <v>5</v>
      </c>
      <c r="N38" s="9">
        <v>45856.856458333335</v>
      </c>
      <c r="O38" s="10">
        <v>0.85645833333333332</v>
      </c>
      <c r="P38" s="7" t="s">
        <v>416</v>
      </c>
      <c r="Q38" s="8">
        <v>45856</v>
      </c>
      <c r="R38" s="9">
        <v>45856.856458333335</v>
      </c>
      <c r="S38" s="11" t="s">
        <v>417</v>
      </c>
      <c r="T38" s="11" t="s">
        <v>418</v>
      </c>
      <c r="U38" s="11" t="s">
        <v>420</v>
      </c>
      <c r="V38" s="11" t="s">
        <v>419</v>
      </c>
      <c r="W38" s="11" t="s">
        <v>421</v>
      </c>
      <c r="X38" s="11" t="s">
        <v>419</v>
      </c>
      <c r="Y38" s="7">
        <v>0</v>
      </c>
      <c r="Z38" s="12" t="s">
        <v>422</v>
      </c>
      <c r="AA38" s="12" t="s">
        <v>423</v>
      </c>
      <c r="AB38" s="7">
        <v>5.6187926524872998</v>
      </c>
      <c r="AC38" s="11" t="s">
        <v>424</v>
      </c>
      <c r="AD38" s="11" t="s">
        <v>425</v>
      </c>
      <c r="AE38" s="11" t="s">
        <v>426</v>
      </c>
      <c r="AF38" s="7">
        <v>-50.463111142657297</v>
      </c>
      <c r="AG38" t="s">
        <v>885</v>
      </c>
      <c r="AH38" t="s">
        <v>885</v>
      </c>
      <c r="AI38" t="s">
        <v>885</v>
      </c>
      <c r="AJ38" t="s">
        <v>885</v>
      </c>
      <c r="AK38" t="s">
        <v>885</v>
      </c>
      <c r="AL38" t="s">
        <v>885</v>
      </c>
      <c r="AM38" t="s">
        <v>885</v>
      </c>
      <c r="AO38" s="12" t="s">
        <v>423</v>
      </c>
      <c r="AP38" s="11" t="s">
        <v>425</v>
      </c>
      <c r="AQ38" s="11" t="s">
        <v>426</v>
      </c>
    </row>
    <row r="39" spans="1:43" x14ac:dyDescent="0.25">
      <c r="A39" t="s">
        <v>364</v>
      </c>
      <c r="B39" t="s">
        <v>365</v>
      </c>
      <c r="C39" t="s">
        <v>890</v>
      </c>
      <c r="D39" t="s">
        <v>427</v>
      </c>
      <c r="E39" s="1">
        <v>45874</v>
      </c>
      <c r="F39">
        <v>8</v>
      </c>
      <c r="G39">
        <v>5</v>
      </c>
      <c r="H39">
        <v>2025</v>
      </c>
      <c r="I39">
        <v>217</v>
      </c>
      <c r="J39">
        <v>-77.448746</v>
      </c>
      <c r="K39">
        <v>169.277041</v>
      </c>
      <c r="L39">
        <v>254.63182</v>
      </c>
      <c r="M39">
        <v>5</v>
      </c>
      <c r="N39" s="2">
        <v>45874.913495370369</v>
      </c>
      <c r="O39" s="3">
        <v>0.91349537037037032</v>
      </c>
      <c r="P39" t="s">
        <v>428</v>
      </c>
      <c r="Q39" s="1">
        <v>45874</v>
      </c>
      <c r="R39" s="2">
        <v>45874.913495370369</v>
      </c>
      <c r="S39" s="4" t="s">
        <v>429</v>
      </c>
      <c r="T39" s="4" t="s">
        <v>430</v>
      </c>
      <c r="U39">
        <v>247.0703125</v>
      </c>
      <c r="V39">
        <v>100.43351731656099</v>
      </c>
      <c r="W39" s="4" t="s">
        <v>431</v>
      </c>
      <c r="X39">
        <v>100.43351731656099</v>
      </c>
      <c r="Y39">
        <v>0</v>
      </c>
      <c r="Z39" s="5" t="s">
        <v>432</v>
      </c>
      <c r="AA39" s="5" t="s">
        <v>433</v>
      </c>
      <c r="AB39" s="4" t="s">
        <v>434</v>
      </c>
      <c r="AC39" s="4" t="s">
        <v>435</v>
      </c>
      <c r="AD39" s="4" t="s">
        <v>436</v>
      </c>
      <c r="AE39" s="4" t="s">
        <v>437</v>
      </c>
      <c r="AF39">
        <v>-69.502419612416503</v>
      </c>
      <c r="AG39" t="s">
        <v>885</v>
      </c>
      <c r="AH39" t="s">
        <v>885</v>
      </c>
      <c r="AI39" t="s">
        <v>885</v>
      </c>
      <c r="AJ39" t="s">
        <v>885</v>
      </c>
      <c r="AK39" t="s">
        <v>885</v>
      </c>
      <c r="AL39" t="s">
        <v>885</v>
      </c>
      <c r="AM39" t="s">
        <v>885</v>
      </c>
      <c r="AO39" s="5" t="s">
        <v>433</v>
      </c>
      <c r="AP39" s="4" t="s">
        <v>436</v>
      </c>
      <c r="AQ39" s="4" t="s">
        <v>437</v>
      </c>
    </row>
    <row r="40" spans="1:43" x14ac:dyDescent="0.25">
      <c r="A40" t="s">
        <v>364</v>
      </c>
      <c r="B40" t="s">
        <v>365</v>
      </c>
      <c r="C40" t="s">
        <v>890</v>
      </c>
      <c r="D40" t="s">
        <v>438</v>
      </c>
      <c r="E40" s="1">
        <v>45890</v>
      </c>
      <c r="F40">
        <v>8</v>
      </c>
      <c r="G40">
        <v>21</v>
      </c>
      <c r="H40">
        <v>2025</v>
      </c>
      <c r="I40">
        <v>233</v>
      </c>
      <c r="J40">
        <v>-77.448746</v>
      </c>
      <c r="K40">
        <v>169.277041</v>
      </c>
      <c r="L40">
        <v>230.52832900000001</v>
      </c>
      <c r="M40">
        <v>5</v>
      </c>
      <c r="N40" s="2">
        <v>45890.912442129629</v>
      </c>
      <c r="O40" s="3">
        <v>0.91244212962962967</v>
      </c>
      <c r="P40" t="s">
        <v>439</v>
      </c>
      <c r="Q40" s="1">
        <v>45890</v>
      </c>
      <c r="R40" s="2">
        <v>45890.912442129629</v>
      </c>
      <c r="S40" s="4" t="s">
        <v>440</v>
      </c>
      <c r="T40" s="4" t="s">
        <v>441</v>
      </c>
      <c r="U40" s="4" t="s">
        <v>443</v>
      </c>
      <c r="V40" s="4" t="s">
        <v>442</v>
      </c>
      <c r="W40" s="4" t="s">
        <v>444</v>
      </c>
      <c r="X40" s="4" t="s">
        <v>442</v>
      </c>
      <c r="Y40">
        <v>0</v>
      </c>
      <c r="Z40" s="5" t="s">
        <v>445</v>
      </c>
      <c r="AA40" s="5" t="s">
        <v>446</v>
      </c>
      <c r="AB40" s="4" t="s">
        <v>447</v>
      </c>
      <c r="AC40" s="4" t="s">
        <v>448</v>
      </c>
      <c r="AD40" s="4" t="s">
        <v>449</v>
      </c>
      <c r="AE40" s="4" t="s">
        <v>450</v>
      </c>
      <c r="AF40">
        <v>-71.145542377033394</v>
      </c>
      <c r="AG40" t="s">
        <v>885</v>
      </c>
      <c r="AH40" t="s">
        <v>885</v>
      </c>
      <c r="AI40" t="s">
        <v>885</v>
      </c>
      <c r="AJ40" t="s">
        <v>885</v>
      </c>
      <c r="AK40" t="s">
        <v>885</v>
      </c>
      <c r="AL40" t="s">
        <v>885</v>
      </c>
      <c r="AM40" t="s">
        <v>885</v>
      </c>
      <c r="AO40" s="5" t="s">
        <v>446</v>
      </c>
      <c r="AP40" s="4" t="s">
        <v>449</v>
      </c>
      <c r="AQ40" s="4" t="s">
        <v>450</v>
      </c>
    </row>
    <row r="41" spans="1:43" x14ac:dyDescent="0.25">
      <c r="A41" t="s">
        <v>364</v>
      </c>
      <c r="B41" t="s">
        <v>365</v>
      </c>
      <c r="C41" t="s">
        <v>1071</v>
      </c>
      <c r="D41" t="s">
        <v>754</v>
      </c>
      <c r="E41" s="1">
        <v>45940</v>
      </c>
      <c r="F41">
        <v>10</v>
      </c>
      <c r="G41">
        <v>10</v>
      </c>
      <c r="H41">
        <v>2025</v>
      </c>
      <c r="I41">
        <v>283</v>
      </c>
      <c r="J41">
        <v>-77.459999999999994</v>
      </c>
      <c r="K41">
        <v>169.32</v>
      </c>
      <c r="L41">
        <v>2569.8765629999998</v>
      </c>
      <c r="M41">
        <v>5</v>
      </c>
      <c r="N41" s="2">
        <v>45940.868055555555</v>
      </c>
      <c r="O41" s="3">
        <v>0.86831018518518521</v>
      </c>
      <c r="P41" t="s">
        <v>867</v>
      </c>
      <c r="Q41" s="1">
        <v>45940</v>
      </c>
      <c r="R41" s="2">
        <v>45940.868055555555</v>
      </c>
      <c r="S41" s="4" t="s">
        <v>868</v>
      </c>
      <c r="T41">
        <v>250.43969730000001</v>
      </c>
      <c r="U41">
        <v>246.4287109</v>
      </c>
      <c r="V41">
        <v>86.475991759999999</v>
      </c>
      <c r="W41" s="4" t="s">
        <v>869</v>
      </c>
      <c r="X41">
        <v>86.475991759999999</v>
      </c>
      <c r="Y41" s="4" t="s">
        <v>870</v>
      </c>
      <c r="Z41" s="4" t="s">
        <v>871</v>
      </c>
      <c r="AA41" s="4" t="s">
        <v>872</v>
      </c>
      <c r="AB41" s="4" t="s">
        <v>873</v>
      </c>
      <c r="AC41" s="4" t="s">
        <v>874</v>
      </c>
      <c r="AD41" s="4" t="s">
        <v>875</v>
      </c>
      <c r="AE41" s="4" t="s">
        <v>876</v>
      </c>
      <c r="AF41">
        <v>-62.840612970000002</v>
      </c>
      <c r="AG41">
        <v>1715.3462213370599</v>
      </c>
      <c r="AH41">
        <v>330.47912272201398</v>
      </c>
      <c r="AI41">
        <v>1194.2688106688199</v>
      </c>
      <c r="AJ41">
        <v>1259.35369523129</v>
      </c>
      <c r="AK41">
        <v>1673.44883946257</v>
      </c>
      <c r="AL41">
        <v>2317.6986630404399</v>
      </c>
      <c r="AM41">
        <v>2477.2888387214002</v>
      </c>
      <c r="AO41">
        <f t="shared" ref="AO41" si="3">AG41</f>
        <v>1715.3462213370599</v>
      </c>
      <c r="AP41">
        <f t="shared" ref="AP41" si="4">AG41+AH41</f>
        <v>2045.8253440590738</v>
      </c>
      <c r="AQ41">
        <f t="shared" ref="AQ41" si="5">AG41-AH41</f>
        <v>1384.867098615046</v>
      </c>
    </row>
    <row r="42" spans="1:43" x14ac:dyDescent="0.25">
      <c r="A42" t="s">
        <v>451</v>
      </c>
      <c r="B42" t="s">
        <v>452</v>
      </c>
      <c r="C42" t="s">
        <v>890</v>
      </c>
      <c r="D42" t="s">
        <v>453</v>
      </c>
      <c r="E42" s="1">
        <v>45771</v>
      </c>
      <c r="F42">
        <v>4</v>
      </c>
      <c r="G42">
        <v>24</v>
      </c>
      <c r="H42">
        <v>2025</v>
      </c>
      <c r="I42">
        <v>114</v>
      </c>
      <c r="J42">
        <v>-76.177379999999999</v>
      </c>
      <c r="K42">
        <v>168.394475</v>
      </c>
      <c r="L42">
        <v>609.83833000000004</v>
      </c>
      <c r="M42">
        <v>4</v>
      </c>
      <c r="N42" s="2">
        <v>45771.591435185182</v>
      </c>
      <c r="O42" s="3">
        <v>0.59143518518518523</v>
      </c>
      <c r="P42" t="s">
        <v>454</v>
      </c>
      <c r="Q42" s="1">
        <v>45771</v>
      </c>
      <c r="R42" s="2">
        <v>45771.591435185182</v>
      </c>
      <c r="S42" s="4" t="s">
        <v>455</v>
      </c>
      <c r="T42" s="4" t="s">
        <v>456</v>
      </c>
      <c r="U42" s="4" t="s">
        <v>458</v>
      </c>
      <c r="V42" s="4" t="s">
        <v>457</v>
      </c>
      <c r="W42">
        <v>79.234378871843901</v>
      </c>
      <c r="X42" s="4" t="s">
        <v>457</v>
      </c>
      <c r="Y42">
        <v>0</v>
      </c>
      <c r="Z42" s="5" t="s">
        <v>459</v>
      </c>
      <c r="AA42" s="6">
        <v>3965.1596362438199</v>
      </c>
      <c r="AB42" s="4" t="s">
        <v>460</v>
      </c>
      <c r="AC42" s="4" t="s">
        <v>461</v>
      </c>
      <c r="AD42" s="4" t="s">
        <v>462</v>
      </c>
      <c r="AE42" s="4" t="s">
        <v>463</v>
      </c>
      <c r="AF42">
        <v>-68.633118026808603</v>
      </c>
      <c r="AG42" t="s">
        <v>885</v>
      </c>
      <c r="AH42" t="s">
        <v>885</v>
      </c>
      <c r="AI42" t="s">
        <v>885</v>
      </c>
      <c r="AJ42" t="s">
        <v>885</v>
      </c>
      <c r="AK42" t="s">
        <v>885</v>
      </c>
      <c r="AL42" t="s">
        <v>885</v>
      </c>
      <c r="AM42" t="s">
        <v>885</v>
      </c>
      <c r="AO42" s="6">
        <v>3965.1596362438199</v>
      </c>
      <c r="AP42" s="4" t="s">
        <v>462</v>
      </c>
      <c r="AQ42" s="4" t="s">
        <v>463</v>
      </c>
    </row>
    <row r="43" spans="1:43" x14ac:dyDescent="0.25">
      <c r="A43" t="s">
        <v>451</v>
      </c>
      <c r="B43" t="s">
        <v>452</v>
      </c>
      <c r="C43" t="s">
        <v>890</v>
      </c>
      <c r="D43" t="s">
        <v>464</v>
      </c>
      <c r="E43" s="1">
        <v>45799</v>
      </c>
      <c r="F43">
        <v>5</v>
      </c>
      <c r="G43">
        <v>22</v>
      </c>
      <c r="H43">
        <v>2025</v>
      </c>
      <c r="I43">
        <v>142</v>
      </c>
      <c r="J43">
        <v>-76.177379999999999</v>
      </c>
      <c r="K43">
        <v>168.394475</v>
      </c>
      <c r="L43">
        <v>1202.21264</v>
      </c>
      <c r="M43">
        <v>5</v>
      </c>
      <c r="N43" s="2">
        <v>45799.824004629627</v>
      </c>
      <c r="O43" s="3">
        <v>0.82400462962962961</v>
      </c>
      <c r="P43" t="s">
        <v>465</v>
      </c>
      <c r="Q43" s="1">
        <v>45799</v>
      </c>
      <c r="R43" s="2">
        <v>45799.824004629627</v>
      </c>
      <c r="S43" s="4" t="s">
        <v>466</v>
      </c>
      <c r="T43" s="4" t="s">
        <v>467</v>
      </c>
      <c r="U43" s="4" t="s">
        <v>469</v>
      </c>
      <c r="V43" s="4" t="s">
        <v>468</v>
      </c>
      <c r="W43">
        <v>75.791054722361807</v>
      </c>
      <c r="X43" s="4" t="s">
        <v>468</v>
      </c>
      <c r="Y43">
        <v>0</v>
      </c>
      <c r="Z43" s="5" t="s">
        <v>470</v>
      </c>
      <c r="AA43" s="5" t="s">
        <v>471</v>
      </c>
      <c r="AB43" s="4" t="s">
        <v>472</v>
      </c>
      <c r="AC43" s="4" t="s">
        <v>473</v>
      </c>
      <c r="AD43" s="4" t="s">
        <v>474</v>
      </c>
      <c r="AE43" s="4" t="s">
        <v>475</v>
      </c>
      <c r="AF43">
        <v>-66.794536358398503</v>
      </c>
      <c r="AG43" t="s">
        <v>885</v>
      </c>
      <c r="AH43" t="s">
        <v>885</v>
      </c>
      <c r="AI43" t="s">
        <v>885</v>
      </c>
      <c r="AJ43" t="s">
        <v>885</v>
      </c>
      <c r="AK43" t="s">
        <v>885</v>
      </c>
      <c r="AL43" t="s">
        <v>885</v>
      </c>
      <c r="AM43" t="s">
        <v>885</v>
      </c>
      <c r="AO43" s="5" t="s">
        <v>471</v>
      </c>
      <c r="AP43" s="4" t="s">
        <v>474</v>
      </c>
      <c r="AQ43" s="4" t="s">
        <v>475</v>
      </c>
    </row>
    <row r="44" spans="1:43" x14ac:dyDescent="0.25">
      <c r="A44" t="s">
        <v>451</v>
      </c>
      <c r="B44" t="s">
        <v>452</v>
      </c>
      <c r="C44" t="s">
        <v>890</v>
      </c>
      <c r="D44" t="s">
        <v>476</v>
      </c>
      <c r="E44" s="1">
        <v>45822</v>
      </c>
      <c r="F44">
        <v>6</v>
      </c>
      <c r="G44">
        <v>14</v>
      </c>
      <c r="H44">
        <v>2025</v>
      </c>
      <c r="I44">
        <v>165</v>
      </c>
      <c r="J44">
        <v>-76.177379999999999</v>
      </c>
      <c r="K44">
        <v>168.394475</v>
      </c>
      <c r="L44">
        <v>1198.0335230000001</v>
      </c>
      <c r="M44">
        <v>5</v>
      </c>
      <c r="N44" s="2">
        <v>45822.527696759258</v>
      </c>
      <c r="O44" s="3">
        <v>0.5276967592592593</v>
      </c>
      <c r="P44" t="s">
        <v>477</v>
      </c>
      <c r="Q44" s="1">
        <v>45822</v>
      </c>
      <c r="R44" s="2">
        <v>45822.527696759258</v>
      </c>
      <c r="S44" s="4" t="s">
        <v>478</v>
      </c>
      <c r="T44" s="4" t="s">
        <v>479</v>
      </c>
      <c r="U44" s="4" t="s">
        <v>481</v>
      </c>
      <c r="V44" s="4" t="s">
        <v>480</v>
      </c>
      <c r="W44" s="4" t="s">
        <v>482</v>
      </c>
      <c r="X44" s="4" t="s">
        <v>480</v>
      </c>
      <c r="Y44">
        <v>0</v>
      </c>
      <c r="Z44" s="5" t="s">
        <v>483</v>
      </c>
      <c r="AA44" s="5" t="s">
        <v>484</v>
      </c>
      <c r="AB44">
        <v>6.8131155575172198</v>
      </c>
      <c r="AC44" s="4" t="s">
        <v>485</v>
      </c>
      <c r="AD44" s="4" t="s">
        <v>486</v>
      </c>
      <c r="AE44" s="4" t="s">
        <v>487</v>
      </c>
      <c r="AF44">
        <v>-63.5937310828443</v>
      </c>
      <c r="AG44" t="s">
        <v>885</v>
      </c>
      <c r="AH44" t="s">
        <v>885</v>
      </c>
      <c r="AI44" t="s">
        <v>885</v>
      </c>
      <c r="AJ44" t="s">
        <v>885</v>
      </c>
      <c r="AK44" t="s">
        <v>885</v>
      </c>
      <c r="AL44" t="s">
        <v>885</v>
      </c>
      <c r="AM44" t="s">
        <v>885</v>
      </c>
      <c r="AO44" s="5" t="s">
        <v>484</v>
      </c>
      <c r="AP44" s="4" t="s">
        <v>486</v>
      </c>
      <c r="AQ44" s="4" t="s">
        <v>487</v>
      </c>
    </row>
    <row r="45" spans="1:43" x14ac:dyDescent="0.25">
      <c r="A45" t="s">
        <v>451</v>
      </c>
      <c r="B45" t="s">
        <v>452</v>
      </c>
      <c r="C45" t="s">
        <v>890</v>
      </c>
      <c r="D45" t="s">
        <v>488</v>
      </c>
      <c r="E45" s="1">
        <v>45838</v>
      </c>
      <c r="F45">
        <v>6</v>
      </c>
      <c r="G45">
        <v>30</v>
      </c>
      <c r="H45">
        <v>2025</v>
      </c>
      <c r="I45">
        <v>181</v>
      </c>
      <c r="J45">
        <v>-76.177379999999999</v>
      </c>
      <c r="K45">
        <v>168.394475</v>
      </c>
      <c r="L45">
        <v>647.33690200000001</v>
      </c>
      <c r="M45">
        <v>5</v>
      </c>
      <c r="N45" s="2">
        <v>45838.522905092592</v>
      </c>
      <c r="O45" s="3">
        <v>0.52290509259259255</v>
      </c>
      <c r="P45" t="s">
        <v>489</v>
      </c>
      <c r="Q45" s="1">
        <v>45838</v>
      </c>
      <c r="R45" s="2">
        <v>45838.522905092592</v>
      </c>
      <c r="S45" s="4" t="s">
        <v>490</v>
      </c>
      <c r="T45" s="4" t="s">
        <v>491</v>
      </c>
      <c r="U45" s="4" t="s">
        <v>493</v>
      </c>
      <c r="V45" s="4" t="s">
        <v>492</v>
      </c>
      <c r="W45" s="4" t="s">
        <v>494</v>
      </c>
      <c r="X45" s="4" t="s">
        <v>492</v>
      </c>
      <c r="Y45">
        <v>0</v>
      </c>
      <c r="Z45" s="5" t="s">
        <v>495</v>
      </c>
      <c r="AA45" s="5" t="s">
        <v>496</v>
      </c>
      <c r="AB45" s="4" t="s">
        <v>497</v>
      </c>
      <c r="AC45" s="4" t="s">
        <v>498</v>
      </c>
      <c r="AD45" s="4" t="s">
        <v>499</v>
      </c>
      <c r="AE45" s="4" t="s">
        <v>500</v>
      </c>
      <c r="AF45">
        <v>-64.370568604069206</v>
      </c>
      <c r="AG45" t="s">
        <v>885</v>
      </c>
      <c r="AH45" t="s">
        <v>885</v>
      </c>
      <c r="AI45" t="s">
        <v>885</v>
      </c>
      <c r="AJ45" t="s">
        <v>885</v>
      </c>
      <c r="AK45" t="s">
        <v>885</v>
      </c>
      <c r="AL45" t="s">
        <v>885</v>
      </c>
      <c r="AM45" t="s">
        <v>885</v>
      </c>
      <c r="AO45" s="5" t="s">
        <v>496</v>
      </c>
      <c r="AP45" s="4" t="s">
        <v>499</v>
      </c>
      <c r="AQ45" s="4" t="s">
        <v>500</v>
      </c>
    </row>
    <row r="46" spans="1:43" x14ac:dyDescent="0.25">
      <c r="A46" t="s">
        <v>451</v>
      </c>
      <c r="B46" t="s">
        <v>452</v>
      </c>
      <c r="C46" t="s">
        <v>890</v>
      </c>
      <c r="D46" t="s">
        <v>501</v>
      </c>
      <c r="E46" s="1">
        <v>45860</v>
      </c>
      <c r="F46">
        <v>7</v>
      </c>
      <c r="G46">
        <v>22</v>
      </c>
      <c r="H46">
        <v>2025</v>
      </c>
      <c r="I46">
        <v>203</v>
      </c>
      <c r="J46">
        <v>-76.177379999999999</v>
      </c>
      <c r="K46">
        <v>168.394475</v>
      </c>
      <c r="L46">
        <v>792.97683600000005</v>
      </c>
      <c r="M46">
        <v>5</v>
      </c>
      <c r="N46" s="2">
        <v>45860.522627314815</v>
      </c>
      <c r="O46" s="3">
        <v>0.52262731481481484</v>
      </c>
      <c r="P46" t="s">
        <v>502</v>
      </c>
      <c r="Q46" s="1">
        <v>45860</v>
      </c>
      <c r="R46" s="2">
        <v>45860.522627314815</v>
      </c>
      <c r="S46" s="4" t="s">
        <v>503</v>
      </c>
      <c r="T46" s="4" t="s">
        <v>504</v>
      </c>
      <c r="U46" s="4" t="s">
        <v>506</v>
      </c>
      <c r="V46" s="4" t="s">
        <v>505</v>
      </c>
      <c r="W46" s="4" t="s">
        <v>507</v>
      </c>
      <c r="X46" s="4" t="s">
        <v>505</v>
      </c>
      <c r="Y46">
        <v>0</v>
      </c>
      <c r="Z46" s="5" t="s">
        <v>508</v>
      </c>
      <c r="AA46" s="5" t="s">
        <v>509</v>
      </c>
      <c r="AB46" s="4" t="s">
        <v>510</v>
      </c>
      <c r="AC46" s="4" t="s">
        <v>511</v>
      </c>
      <c r="AD46" s="4" t="s">
        <v>512</v>
      </c>
      <c r="AE46" s="4" t="s">
        <v>513</v>
      </c>
      <c r="AF46">
        <v>-59.341621820164001</v>
      </c>
      <c r="AG46" t="s">
        <v>885</v>
      </c>
      <c r="AH46" t="s">
        <v>885</v>
      </c>
      <c r="AI46" t="s">
        <v>885</v>
      </c>
      <c r="AJ46" t="s">
        <v>885</v>
      </c>
      <c r="AK46" t="s">
        <v>885</v>
      </c>
      <c r="AL46" t="s">
        <v>885</v>
      </c>
      <c r="AM46" t="s">
        <v>885</v>
      </c>
      <c r="AO46" s="5" t="s">
        <v>509</v>
      </c>
      <c r="AP46" s="4" t="s">
        <v>512</v>
      </c>
      <c r="AQ46" s="4" t="s">
        <v>513</v>
      </c>
    </row>
    <row r="47" spans="1:43" x14ac:dyDescent="0.25">
      <c r="A47" t="s">
        <v>451</v>
      </c>
      <c r="B47" t="s">
        <v>452</v>
      </c>
      <c r="C47" t="s">
        <v>890</v>
      </c>
      <c r="D47" t="s">
        <v>514</v>
      </c>
      <c r="E47" s="1">
        <v>45875</v>
      </c>
      <c r="F47">
        <v>8</v>
      </c>
      <c r="G47">
        <v>6</v>
      </c>
      <c r="H47">
        <v>2025</v>
      </c>
      <c r="I47">
        <v>218</v>
      </c>
      <c r="J47">
        <v>-76.177379999999999</v>
      </c>
      <c r="K47">
        <v>168.394475</v>
      </c>
      <c r="L47">
        <v>596.14697899999999</v>
      </c>
      <c r="M47">
        <v>5</v>
      </c>
      <c r="N47" s="2">
        <v>45875.470011574071</v>
      </c>
      <c r="O47" s="3">
        <v>0.47001157407407407</v>
      </c>
      <c r="P47" t="s">
        <v>515</v>
      </c>
      <c r="Q47" s="1">
        <v>45875</v>
      </c>
      <c r="R47" s="2">
        <v>45875.470011574071</v>
      </c>
      <c r="S47" s="4" t="s">
        <v>516</v>
      </c>
      <c r="T47" s="4" t="s">
        <v>517</v>
      </c>
      <c r="U47" s="4" t="s">
        <v>519</v>
      </c>
      <c r="V47" s="4" t="s">
        <v>518</v>
      </c>
      <c r="W47" s="4" t="s">
        <v>520</v>
      </c>
      <c r="X47" s="4" t="s">
        <v>518</v>
      </c>
      <c r="Y47">
        <v>0</v>
      </c>
      <c r="Z47" s="5" t="s">
        <v>521</v>
      </c>
      <c r="AA47" s="5" t="s">
        <v>522</v>
      </c>
      <c r="AB47" s="4" t="s">
        <v>523</v>
      </c>
      <c r="AC47" s="4" t="s">
        <v>524</v>
      </c>
      <c r="AD47">
        <v>4861.0369686028698</v>
      </c>
      <c r="AE47" s="4" t="s">
        <v>525</v>
      </c>
      <c r="AF47">
        <v>-79.397133247768807</v>
      </c>
      <c r="AG47" t="s">
        <v>885</v>
      </c>
      <c r="AH47" t="s">
        <v>885</v>
      </c>
      <c r="AI47" t="s">
        <v>885</v>
      </c>
      <c r="AJ47" t="s">
        <v>885</v>
      </c>
      <c r="AK47" t="s">
        <v>885</v>
      </c>
      <c r="AL47" t="s">
        <v>885</v>
      </c>
      <c r="AM47" t="s">
        <v>885</v>
      </c>
      <c r="AO47" s="5" t="s">
        <v>522</v>
      </c>
      <c r="AP47">
        <v>4861.0369686028698</v>
      </c>
      <c r="AQ47" s="4" t="s">
        <v>525</v>
      </c>
    </row>
    <row r="48" spans="1:43" x14ac:dyDescent="0.25">
      <c r="A48" t="s">
        <v>451</v>
      </c>
      <c r="B48" t="s">
        <v>452</v>
      </c>
      <c r="C48" t="s">
        <v>890</v>
      </c>
      <c r="D48" t="s">
        <v>526</v>
      </c>
      <c r="E48" s="1">
        <v>45893</v>
      </c>
      <c r="F48">
        <v>8</v>
      </c>
      <c r="G48">
        <v>24</v>
      </c>
      <c r="H48">
        <v>2025</v>
      </c>
      <c r="I48">
        <v>236</v>
      </c>
      <c r="J48">
        <v>-76.177379999999999</v>
      </c>
      <c r="K48">
        <v>168.394475</v>
      </c>
      <c r="L48">
        <v>830.181873</v>
      </c>
      <c r="M48">
        <v>5</v>
      </c>
      <c r="N48" s="2">
        <v>45893.541400462964</v>
      </c>
      <c r="O48" s="3">
        <v>0.54140046296296296</v>
      </c>
      <c r="P48" t="s">
        <v>527</v>
      </c>
      <c r="Q48" s="1">
        <v>45893</v>
      </c>
      <c r="R48" s="2">
        <v>45893.541400462964</v>
      </c>
      <c r="S48" s="4" t="s">
        <v>528</v>
      </c>
      <c r="T48" s="4" t="s">
        <v>529</v>
      </c>
      <c r="U48" s="4" t="s">
        <v>531</v>
      </c>
      <c r="V48" s="4" t="s">
        <v>530</v>
      </c>
      <c r="W48">
        <v>75.278636704775707</v>
      </c>
      <c r="X48" s="4" t="s">
        <v>530</v>
      </c>
      <c r="Y48">
        <v>0</v>
      </c>
      <c r="Z48" s="5" t="s">
        <v>532</v>
      </c>
      <c r="AA48" s="5" t="s">
        <v>533</v>
      </c>
      <c r="AB48" s="4" t="s">
        <v>534</v>
      </c>
      <c r="AC48" s="4" t="s">
        <v>535</v>
      </c>
      <c r="AD48" s="4" t="s">
        <v>536</v>
      </c>
      <c r="AE48" s="4" t="s">
        <v>537</v>
      </c>
      <c r="AF48">
        <v>-97.096702418534306</v>
      </c>
      <c r="AG48" t="s">
        <v>885</v>
      </c>
      <c r="AH48" t="s">
        <v>885</v>
      </c>
      <c r="AI48" t="s">
        <v>885</v>
      </c>
      <c r="AJ48" t="s">
        <v>885</v>
      </c>
      <c r="AK48" t="s">
        <v>885</v>
      </c>
      <c r="AL48" t="s">
        <v>885</v>
      </c>
      <c r="AM48" t="s">
        <v>885</v>
      </c>
      <c r="AO48" s="5" t="s">
        <v>533</v>
      </c>
      <c r="AP48" s="4" t="s">
        <v>536</v>
      </c>
      <c r="AQ48" s="4" t="s">
        <v>537</v>
      </c>
    </row>
    <row r="49" spans="1:43" x14ac:dyDescent="0.25">
      <c r="A49" t="s">
        <v>451</v>
      </c>
      <c r="B49" t="s">
        <v>452</v>
      </c>
      <c r="C49" t="s">
        <v>1071</v>
      </c>
      <c r="D49" t="s">
        <v>759</v>
      </c>
      <c r="E49" s="1">
        <v>45954</v>
      </c>
      <c r="F49">
        <v>10</v>
      </c>
      <c r="G49">
        <v>24</v>
      </c>
      <c r="H49">
        <v>2025</v>
      </c>
      <c r="I49">
        <v>297</v>
      </c>
      <c r="J49">
        <v>-76.180000000000007</v>
      </c>
      <c r="K49">
        <v>168.43</v>
      </c>
      <c r="L49">
        <v>2934.9397570000001</v>
      </c>
      <c r="M49">
        <v>5</v>
      </c>
      <c r="N49" s="2">
        <v>45954.999305555553</v>
      </c>
      <c r="O49" s="3">
        <v>0.99956018518518519</v>
      </c>
      <c r="P49" t="s">
        <v>800</v>
      </c>
      <c r="Q49" s="1">
        <v>45954</v>
      </c>
      <c r="R49" s="2">
        <v>45954.999305555553</v>
      </c>
      <c r="S49" s="4" t="s">
        <v>801</v>
      </c>
      <c r="T49" s="4" t="s">
        <v>802</v>
      </c>
      <c r="U49" s="4" t="s">
        <v>803</v>
      </c>
      <c r="V49" s="4" t="s">
        <v>804</v>
      </c>
      <c r="W49" s="4" t="s">
        <v>805</v>
      </c>
      <c r="X49" s="4" t="s">
        <v>804</v>
      </c>
      <c r="Y49" s="4" t="s">
        <v>806</v>
      </c>
      <c r="Z49" s="4" t="s">
        <v>807</v>
      </c>
      <c r="AA49" s="4" t="s">
        <v>808</v>
      </c>
      <c r="AB49" s="4" t="s">
        <v>809</v>
      </c>
      <c r="AC49" s="4" t="s">
        <v>810</v>
      </c>
      <c r="AD49" s="4" t="s">
        <v>811</v>
      </c>
      <c r="AE49" s="4" t="s">
        <v>812</v>
      </c>
      <c r="AF49">
        <v>-49.538121920000002</v>
      </c>
      <c r="AG49">
        <v>2998.2686839243902</v>
      </c>
      <c r="AH49">
        <v>847.33834295368604</v>
      </c>
      <c r="AI49">
        <v>1795.56607390627</v>
      </c>
      <c r="AJ49">
        <v>1924.86554523002</v>
      </c>
      <c r="AK49">
        <v>2848.9862571151898</v>
      </c>
      <c r="AL49">
        <v>4572.7383544594904</v>
      </c>
      <c r="AM49">
        <v>5026.8404245227703</v>
      </c>
      <c r="AO49">
        <f t="shared" ref="AO49" si="6">AG49</f>
        <v>2998.2686839243902</v>
      </c>
      <c r="AP49">
        <f t="shared" ref="AP49" si="7">AG49+AH49</f>
        <v>3845.6070268780763</v>
      </c>
      <c r="AQ49">
        <f t="shared" ref="AQ49" si="8">AG49-AH49</f>
        <v>2150.930340970704</v>
      </c>
    </row>
    <row r="50" spans="1:43" x14ac:dyDescent="0.25">
      <c r="A50" t="s">
        <v>538</v>
      </c>
      <c r="B50" t="s">
        <v>539</v>
      </c>
      <c r="C50" t="s">
        <v>890</v>
      </c>
      <c r="D50" t="s">
        <v>540</v>
      </c>
      <c r="E50" s="1">
        <v>45772</v>
      </c>
      <c r="F50">
        <v>4</v>
      </c>
      <c r="G50">
        <v>25</v>
      </c>
      <c r="H50">
        <v>2025</v>
      </c>
      <c r="I50">
        <v>115</v>
      </c>
      <c r="J50">
        <v>-71.983065999999994</v>
      </c>
      <c r="K50">
        <v>170.60781700000001</v>
      </c>
      <c r="L50">
        <v>1533.697375</v>
      </c>
      <c r="M50">
        <v>2</v>
      </c>
      <c r="N50" s="2">
        <v>45772.51394675926</v>
      </c>
      <c r="O50" s="3">
        <v>0.51394675925925926</v>
      </c>
      <c r="P50" t="s">
        <v>541</v>
      </c>
      <c r="Q50" s="1">
        <v>45772</v>
      </c>
      <c r="R50" s="2">
        <v>45772.51394675926</v>
      </c>
      <c r="S50" s="4" t="s">
        <v>542</v>
      </c>
      <c r="T50" s="4" t="s">
        <v>543</v>
      </c>
      <c r="U50" s="4" t="s">
        <v>545</v>
      </c>
      <c r="V50" s="4" t="s">
        <v>544</v>
      </c>
      <c r="W50" s="4" t="s">
        <v>546</v>
      </c>
      <c r="X50" s="4" t="s">
        <v>544</v>
      </c>
      <c r="Y50">
        <v>0</v>
      </c>
      <c r="Z50" s="5" t="s">
        <v>547</v>
      </c>
      <c r="AA50" s="5" t="s">
        <v>548</v>
      </c>
      <c r="AB50" s="4" t="s">
        <v>549</v>
      </c>
      <c r="AC50" s="4" t="s">
        <v>550</v>
      </c>
      <c r="AD50" s="4" t="s">
        <v>551</v>
      </c>
      <c r="AE50">
        <v>8300.88109615963</v>
      </c>
      <c r="AF50">
        <v>-62.373504773418901</v>
      </c>
      <c r="AG50" t="s">
        <v>885</v>
      </c>
      <c r="AH50" t="s">
        <v>885</v>
      </c>
      <c r="AI50" t="s">
        <v>885</v>
      </c>
      <c r="AJ50" t="s">
        <v>885</v>
      </c>
      <c r="AK50" t="s">
        <v>885</v>
      </c>
      <c r="AL50" t="s">
        <v>885</v>
      </c>
      <c r="AM50" t="s">
        <v>885</v>
      </c>
      <c r="AO50" s="5" t="s">
        <v>548</v>
      </c>
      <c r="AP50" s="4" t="s">
        <v>551</v>
      </c>
      <c r="AQ50">
        <v>8300.88109615963</v>
      </c>
    </row>
    <row r="51" spans="1:43" x14ac:dyDescent="0.25">
      <c r="A51" t="s">
        <v>538</v>
      </c>
      <c r="B51" t="s">
        <v>539</v>
      </c>
      <c r="C51" t="s">
        <v>890</v>
      </c>
      <c r="D51" t="s">
        <v>552</v>
      </c>
      <c r="E51" s="1">
        <v>45799</v>
      </c>
      <c r="F51">
        <v>5</v>
      </c>
      <c r="G51">
        <v>22</v>
      </c>
      <c r="H51">
        <v>2025</v>
      </c>
      <c r="I51">
        <v>142</v>
      </c>
      <c r="J51">
        <v>-71.983065999999994</v>
      </c>
      <c r="K51">
        <v>170.60781700000001</v>
      </c>
      <c r="L51">
        <v>1615.4937219999999</v>
      </c>
      <c r="M51">
        <v>3</v>
      </c>
      <c r="N51" s="2">
        <v>45799.552511574075</v>
      </c>
      <c r="O51" s="3">
        <v>0.55251157407407403</v>
      </c>
      <c r="P51" t="s">
        <v>553</v>
      </c>
      <c r="Q51" s="1">
        <v>45799</v>
      </c>
      <c r="R51" s="2">
        <v>45799.552511574075</v>
      </c>
      <c r="S51" s="4" t="s">
        <v>554</v>
      </c>
      <c r="T51" s="4" t="s">
        <v>555</v>
      </c>
      <c r="U51" s="4" t="s">
        <v>557</v>
      </c>
      <c r="V51" s="4" t="s">
        <v>556</v>
      </c>
      <c r="W51" s="4" t="s">
        <v>558</v>
      </c>
      <c r="X51" s="4" t="s">
        <v>556</v>
      </c>
      <c r="Y51">
        <v>0</v>
      </c>
      <c r="Z51" s="5" t="s">
        <v>559</v>
      </c>
      <c r="AA51" s="5" t="s">
        <v>560</v>
      </c>
      <c r="AB51" s="4" t="s">
        <v>561</v>
      </c>
      <c r="AC51" s="4" t="s">
        <v>562</v>
      </c>
      <c r="AD51" s="4" t="s">
        <v>563</v>
      </c>
      <c r="AE51" s="4" t="s">
        <v>564</v>
      </c>
      <c r="AF51">
        <v>-63.604303505892503</v>
      </c>
      <c r="AG51" t="s">
        <v>885</v>
      </c>
      <c r="AH51" t="s">
        <v>885</v>
      </c>
      <c r="AI51" t="s">
        <v>885</v>
      </c>
      <c r="AJ51" t="s">
        <v>885</v>
      </c>
      <c r="AK51" t="s">
        <v>885</v>
      </c>
      <c r="AL51" t="s">
        <v>885</v>
      </c>
      <c r="AM51" t="s">
        <v>885</v>
      </c>
      <c r="AO51" s="5" t="s">
        <v>560</v>
      </c>
      <c r="AP51" s="4" t="s">
        <v>563</v>
      </c>
      <c r="AQ51" s="4" t="s">
        <v>564</v>
      </c>
    </row>
    <row r="52" spans="1:43" x14ac:dyDescent="0.25">
      <c r="A52" t="s">
        <v>538</v>
      </c>
      <c r="B52" t="s">
        <v>539</v>
      </c>
      <c r="C52" t="s">
        <v>890</v>
      </c>
      <c r="D52" t="s">
        <v>565</v>
      </c>
      <c r="E52" s="1">
        <v>45821</v>
      </c>
      <c r="F52">
        <v>6</v>
      </c>
      <c r="G52">
        <v>13</v>
      </c>
      <c r="H52">
        <v>2025</v>
      </c>
      <c r="I52">
        <v>164</v>
      </c>
      <c r="J52">
        <v>-71.983065999999994</v>
      </c>
      <c r="K52">
        <v>170.60781700000001</v>
      </c>
      <c r="L52">
        <v>1280.4804710000001</v>
      </c>
      <c r="M52">
        <v>2</v>
      </c>
      <c r="N52" s="2">
        <v>45821.505694444444</v>
      </c>
      <c r="O52" s="3">
        <v>0.50569444444444445</v>
      </c>
      <c r="P52" t="s">
        <v>566</v>
      </c>
      <c r="Q52" s="1">
        <v>45821</v>
      </c>
      <c r="R52" s="2">
        <v>45821.505694444444</v>
      </c>
      <c r="S52" s="4" t="s">
        <v>567</v>
      </c>
      <c r="T52">
        <v>261.539794921875</v>
      </c>
      <c r="U52" s="4" t="s">
        <v>568</v>
      </c>
      <c r="V52">
        <v>54.933938650599003</v>
      </c>
      <c r="W52" s="4" t="s">
        <v>569</v>
      </c>
      <c r="X52">
        <v>54.933938650599003</v>
      </c>
      <c r="Y52">
        <v>0</v>
      </c>
      <c r="Z52" s="5" t="s">
        <v>570</v>
      </c>
      <c r="AA52" s="5" t="s">
        <v>571</v>
      </c>
      <c r="AB52" s="4" t="s">
        <v>572</v>
      </c>
      <c r="AC52" s="4" t="s">
        <v>573</v>
      </c>
      <c r="AD52" s="4" t="s">
        <v>574</v>
      </c>
      <c r="AE52" s="4" t="s">
        <v>575</v>
      </c>
      <c r="AF52">
        <v>-41.923512314559098</v>
      </c>
      <c r="AG52" t="s">
        <v>885</v>
      </c>
      <c r="AH52" t="s">
        <v>885</v>
      </c>
      <c r="AI52" t="s">
        <v>885</v>
      </c>
      <c r="AJ52" t="s">
        <v>885</v>
      </c>
      <c r="AK52" t="s">
        <v>885</v>
      </c>
      <c r="AL52" t="s">
        <v>885</v>
      </c>
      <c r="AM52" t="s">
        <v>885</v>
      </c>
      <c r="AO52" s="5" t="s">
        <v>571</v>
      </c>
      <c r="AP52" s="4" t="s">
        <v>574</v>
      </c>
      <c r="AQ52" s="4" t="s">
        <v>575</v>
      </c>
    </row>
    <row r="53" spans="1:43" s="7" customFormat="1" x14ac:dyDescent="0.25">
      <c r="A53" s="7" t="s">
        <v>538</v>
      </c>
      <c r="B53" s="7" t="s">
        <v>539</v>
      </c>
      <c r="C53" s="7" t="s">
        <v>890</v>
      </c>
      <c r="D53" s="7" t="s">
        <v>576</v>
      </c>
      <c r="E53" s="8">
        <v>45838</v>
      </c>
      <c r="F53" s="7">
        <v>6</v>
      </c>
      <c r="G53" s="7">
        <v>30</v>
      </c>
      <c r="H53" s="7">
        <v>2025</v>
      </c>
      <c r="I53" s="7">
        <v>181</v>
      </c>
      <c r="J53" s="7">
        <v>-71.983065999999994</v>
      </c>
      <c r="K53" s="7">
        <v>170.60781700000001</v>
      </c>
      <c r="L53" s="7">
        <v>1466.330336</v>
      </c>
      <c r="M53" s="7">
        <v>3</v>
      </c>
      <c r="N53" s="9">
        <v>45838.506481481483</v>
      </c>
      <c r="O53" s="10">
        <v>0.50648148148148153</v>
      </c>
      <c r="P53" s="7" t="s">
        <v>577</v>
      </c>
      <c r="Q53" s="8">
        <v>45838</v>
      </c>
      <c r="R53" s="9">
        <v>45838.506481481483</v>
      </c>
      <c r="S53" s="11" t="s">
        <v>578</v>
      </c>
      <c r="T53" s="11" t="s">
        <v>579</v>
      </c>
      <c r="U53" s="11" t="s">
        <v>581</v>
      </c>
      <c r="V53" s="11" t="s">
        <v>580</v>
      </c>
      <c r="W53" s="11" t="s">
        <v>582</v>
      </c>
      <c r="X53" s="11" t="s">
        <v>580</v>
      </c>
      <c r="Y53" s="7">
        <v>0</v>
      </c>
      <c r="Z53" s="12" t="s">
        <v>583</v>
      </c>
      <c r="AA53" s="12" t="s">
        <v>584</v>
      </c>
      <c r="AB53" s="11" t="s">
        <v>585</v>
      </c>
      <c r="AC53" s="11" t="s">
        <v>586</v>
      </c>
      <c r="AD53" s="11" t="s">
        <v>587</v>
      </c>
      <c r="AE53" s="11" t="s">
        <v>588</v>
      </c>
      <c r="AF53" s="7">
        <v>-60.879841411907698</v>
      </c>
      <c r="AG53" t="s">
        <v>885</v>
      </c>
      <c r="AH53" t="s">
        <v>885</v>
      </c>
      <c r="AI53" t="s">
        <v>885</v>
      </c>
      <c r="AJ53" t="s">
        <v>885</v>
      </c>
      <c r="AK53" t="s">
        <v>885</v>
      </c>
      <c r="AL53" t="s">
        <v>885</v>
      </c>
      <c r="AM53" t="s">
        <v>885</v>
      </c>
      <c r="AO53" s="12" t="s">
        <v>584</v>
      </c>
      <c r="AP53" s="11" t="s">
        <v>587</v>
      </c>
      <c r="AQ53" s="11" t="s">
        <v>588</v>
      </c>
    </row>
    <row r="54" spans="1:43" s="7" customFormat="1" ht="14.25" customHeight="1" x14ac:dyDescent="0.25">
      <c r="A54" s="7" t="s">
        <v>538</v>
      </c>
      <c r="B54" s="7" t="s">
        <v>539</v>
      </c>
      <c r="C54" s="7" t="s">
        <v>890</v>
      </c>
      <c r="D54" s="7" t="s">
        <v>589</v>
      </c>
      <c r="E54" s="8">
        <v>45856</v>
      </c>
      <c r="F54" s="7">
        <v>7</v>
      </c>
      <c r="G54" s="7">
        <v>18</v>
      </c>
      <c r="H54" s="7">
        <v>2025</v>
      </c>
      <c r="I54" s="7">
        <v>199</v>
      </c>
      <c r="J54" s="7">
        <v>-71.983065999999994</v>
      </c>
      <c r="K54" s="7">
        <v>170.60781700000001</v>
      </c>
      <c r="L54" s="7">
        <v>1270.150551</v>
      </c>
      <c r="M54" s="7">
        <v>3</v>
      </c>
      <c r="N54" s="9">
        <v>45856.878321759257</v>
      </c>
      <c r="O54" s="10">
        <v>0.87832175925925926</v>
      </c>
      <c r="P54" s="7" t="s">
        <v>590</v>
      </c>
      <c r="Q54" s="8">
        <v>45856</v>
      </c>
      <c r="R54" s="9">
        <v>45856.878321759257</v>
      </c>
      <c r="S54" s="11" t="s">
        <v>591</v>
      </c>
      <c r="T54" s="11" t="s">
        <v>592</v>
      </c>
      <c r="U54" s="11" t="s">
        <v>594</v>
      </c>
      <c r="V54" s="11" t="s">
        <v>593</v>
      </c>
      <c r="W54" s="11" t="s">
        <v>595</v>
      </c>
      <c r="X54" s="11" t="s">
        <v>593</v>
      </c>
      <c r="Y54" s="7">
        <v>0</v>
      </c>
      <c r="Z54" s="12" t="s">
        <v>596</v>
      </c>
      <c r="AA54" s="12" t="s">
        <v>597</v>
      </c>
      <c r="AB54" s="7">
        <v>4.9605587954650998</v>
      </c>
      <c r="AC54" s="11" t="s">
        <v>598</v>
      </c>
      <c r="AD54" s="11" t="s">
        <v>599</v>
      </c>
      <c r="AE54" s="11" t="s">
        <v>600</v>
      </c>
      <c r="AF54" s="7">
        <v>-43.195870528838803</v>
      </c>
      <c r="AG54" t="s">
        <v>885</v>
      </c>
      <c r="AH54" t="s">
        <v>885</v>
      </c>
      <c r="AI54" t="s">
        <v>885</v>
      </c>
      <c r="AJ54" t="s">
        <v>885</v>
      </c>
      <c r="AK54" t="s">
        <v>885</v>
      </c>
      <c r="AL54" t="s">
        <v>885</v>
      </c>
      <c r="AM54" t="s">
        <v>885</v>
      </c>
      <c r="AO54" s="12" t="s">
        <v>597</v>
      </c>
      <c r="AP54" s="11" t="s">
        <v>599</v>
      </c>
      <c r="AQ54" s="11" t="s">
        <v>600</v>
      </c>
    </row>
    <row r="55" spans="1:43" x14ac:dyDescent="0.25">
      <c r="A55" t="s">
        <v>538</v>
      </c>
      <c r="B55" t="s">
        <v>539</v>
      </c>
      <c r="C55" t="s">
        <v>890</v>
      </c>
      <c r="D55" t="s">
        <v>601</v>
      </c>
      <c r="E55" s="1">
        <v>45875</v>
      </c>
      <c r="F55">
        <v>8</v>
      </c>
      <c r="G55">
        <v>6</v>
      </c>
      <c r="H55">
        <v>2025</v>
      </c>
      <c r="I55">
        <v>218</v>
      </c>
      <c r="J55">
        <v>-71.983065999999994</v>
      </c>
      <c r="K55">
        <v>170.60781700000001</v>
      </c>
      <c r="L55">
        <v>1309.7605610000001</v>
      </c>
      <c r="M55">
        <v>3</v>
      </c>
      <c r="N55" s="2">
        <v>45875.504479166666</v>
      </c>
      <c r="O55" s="3">
        <v>0.5044791666666667</v>
      </c>
      <c r="P55" t="s">
        <v>602</v>
      </c>
      <c r="Q55" s="1">
        <v>45875</v>
      </c>
      <c r="R55" s="2">
        <v>45875.504479166666</v>
      </c>
      <c r="S55" s="4" t="s">
        <v>603</v>
      </c>
      <c r="T55">
        <v>249.89892578125</v>
      </c>
      <c r="U55" s="4" t="s">
        <v>605</v>
      </c>
      <c r="V55" s="4" t="s">
        <v>604</v>
      </c>
      <c r="W55" s="4" t="s">
        <v>606</v>
      </c>
      <c r="X55" s="4" t="s">
        <v>604</v>
      </c>
      <c r="Y55">
        <v>0</v>
      </c>
      <c r="Z55" s="5" t="s">
        <v>607</v>
      </c>
      <c r="AA55" s="6">
        <v>7238.64814481144</v>
      </c>
      <c r="AB55">
        <v>6.0706427343151503</v>
      </c>
      <c r="AC55" s="4" t="s">
        <v>608</v>
      </c>
      <c r="AD55" s="4" t="s">
        <v>609</v>
      </c>
      <c r="AE55" s="4" t="s">
        <v>610</v>
      </c>
      <c r="AF55">
        <v>-55.806214138999501</v>
      </c>
      <c r="AG55" t="s">
        <v>885</v>
      </c>
      <c r="AH55" t="s">
        <v>885</v>
      </c>
      <c r="AI55" t="s">
        <v>885</v>
      </c>
      <c r="AJ55" t="s">
        <v>885</v>
      </c>
      <c r="AK55" t="s">
        <v>885</v>
      </c>
      <c r="AL55" t="s">
        <v>885</v>
      </c>
      <c r="AM55" t="s">
        <v>885</v>
      </c>
      <c r="AO55" s="6">
        <v>7238.64814481144</v>
      </c>
      <c r="AP55" s="4" t="s">
        <v>609</v>
      </c>
      <c r="AQ55" s="4" t="s">
        <v>610</v>
      </c>
    </row>
    <row r="56" spans="1:43" x14ac:dyDescent="0.25">
      <c r="A56" t="s">
        <v>538</v>
      </c>
      <c r="B56" t="s">
        <v>539</v>
      </c>
      <c r="C56" t="s">
        <v>890</v>
      </c>
      <c r="D56" t="s">
        <v>611</v>
      </c>
      <c r="E56" s="1">
        <v>45889</v>
      </c>
      <c r="F56">
        <v>8</v>
      </c>
      <c r="G56">
        <v>20</v>
      </c>
      <c r="H56">
        <v>2025</v>
      </c>
      <c r="I56">
        <v>232</v>
      </c>
      <c r="J56">
        <v>-71.983065999999994</v>
      </c>
      <c r="K56">
        <v>170.60781700000001</v>
      </c>
      <c r="L56">
        <v>576.45900900000004</v>
      </c>
      <c r="M56">
        <v>2</v>
      </c>
      <c r="N56" s="2">
        <v>45889.871886574074</v>
      </c>
      <c r="O56" s="3">
        <v>0.87188657407407411</v>
      </c>
      <c r="P56" t="s">
        <v>612</v>
      </c>
      <c r="Q56" s="1">
        <v>45889</v>
      </c>
      <c r="R56" s="2">
        <v>45889.871886574074</v>
      </c>
      <c r="S56" s="4" t="s">
        <v>613</v>
      </c>
      <c r="T56" s="4" t="s">
        <v>614</v>
      </c>
      <c r="U56" s="4" t="s">
        <v>616</v>
      </c>
      <c r="V56" s="4" t="s">
        <v>615</v>
      </c>
      <c r="W56" s="4" t="s">
        <v>617</v>
      </c>
      <c r="X56" s="4" t="s">
        <v>615</v>
      </c>
      <c r="Y56">
        <v>0</v>
      </c>
      <c r="Z56" s="6">
        <v>5.1671282979931297</v>
      </c>
      <c r="AA56" s="5" t="s">
        <v>618</v>
      </c>
      <c r="AB56" s="4" t="s">
        <v>619</v>
      </c>
      <c r="AC56" s="4" t="s">
        <v>620</v>
      </c>
      <c r="AD56" s="4" t="s">
        <v>621</v>
      </c>
      <c r="AE56" s="4" t="s">
        <v>622</v>
      </c>
      <c r="AF56">
        <v>-50.969437588534198</v>
      </c>
      <c r="AG56" t="s">
        <v>885</v>
      </c>
      <c r="AH56" t="s">
        <v>885</v>
      </c>
      <c r="AI56" t="s">
        <v>885</v>
      </c>
      <c r="AJ56" t="s">
        <v>885</v>
      </c>
      <c r="AK56" t="s">
        <v>885</v>
      </c>
      <c r="AL56" t="s">
        <v>885</v>
      </c>
      <c r="AM56" t="s">
        <v>885</v>
      </c>
      <c r="AO56" s="5" t="s">
        <v>618</v>
      </c>
      <c r="AP56" s="4" t="s">
        <v>621</v>
      </c>
      <c r="AQ56" s="4" t="s">
        <v>622</v>
      </c>
    </row>
    <row r="57" spans="1:43" x14ac:dyDescent="0.25">
      <c r="A57" t="s">
        <v>538</v>
      </c>
      <c r="B57" t="s">
        <v>539</v>
      </c>
      <c r="C57" t="s">
        <v>1071</v>
      </c>
      <c r="D57" t="s">
        <v>761</v>
      </c>
      <c r="E57" s="1">
        <v>45952</v>
      </c>
      <c r="F57">
        <v>10</v>
      </c>
      <c r="G57">
        <v>22</v>
      </c>
      <c r="H57">
        <v>2025</v>
      </c>
      <c r="I57">
        <v>295</v>
      </c>
      <c r="J57">
        <v>-71.983065999999994</v>
      </c>
      <c r="K57">
        <v>170.60781700000001</v>
      </c>
      <c r="L57">
        <v>3743.1673679999999</v>
      </c>
      <c r="M57">
        <v>5</v>
      </c>
      <c r="N57" s="2">
        <v>45952.895138888889</v>
      </c>
      <c r="O57" s="3">
        <v>0.89525462962962965</v>
      </c>
      <c r="P57" t="s">
        <v>839</v>
      </c>
      <c r="Q57" s="1">
        <v>45952</v>
      </c>
      <c r="R57" s="2">
        <v>45952.895138888889</v>
      </c>
      <c r="S57" s="4" t="s">
        <v>840</v>
      </c>
      <c r="T57" s="4" t="s">
        <v>841</v>
      </c>
      <c r="U57" s="4" t="s">
        <v>842</v>
      </c>
      <c r="V57" s="4" t="s">
        <v>843</v>
      </c>
      <c r="W57" s="4" t="s">
        <v>844</v>
      </c>
      <c r="X57" s="4" t="s">
        <v>843</v>
      </c>
      <c r="Y57" s="4" t="s">
        <v>845</v>
      </c>
      <c r="Z57" s="4" t="s">
        <v>846</v>
      </c>
      <c r="AA57" s="4" t="s">
        <v>847</v>
      </c>
      <c r="AB57">
        <v>5.1351001319999998</v>
      </c>
      <c r="AC57" s="4" t="s">
        <v>848</v>
      </c>
      <c r="AD57" s="4" t="s">
        <v>849</v>
      </c>
      <c r="AE57" s="4" t="s">
        <v>850</v>
      </c>
      <c r="AF57">
        <v>-57.087051029999998</v>
      </c>
      <c r="AG57">
        <v>4049.6042319881399</v>
      </c>
      <c r="AH57">
        <v>979.09588400158498</v>
      </c>
      <c r="AI57">
        <v>2558.0271162680301</v>
      </c>
      <c r="AJ57">
        <v>2726.2506538815201</v>
      </c>
      <c r="AK57">
        <v>3908.9409502940998</v>
      </c>
      <c r="AL57">
        <v>5823.2645338436396</v>
      </c>
      <c r="AM57">
        <v>6356.7522814844797</v>
      </c>
      <c r="AO57">
        <f t="shared" ref="AO57" si="9">AG57</f>
        <v>4049.6042319881399</v>
      </c>
      <c r="AP57">
        <f t="shared" ref="AP57" si="10">AG57+AH57</f>
        <v>5028.7001159897245</v>
      </c>
      <c r="AQ57">
        <f t="shared" ref="AQ57" si="11">AG57-AH57</f>
        <v>3070.5083479865548</v>
      </c>
    </row>
    <row r="58" spans="1:43" x14ac:dyDescent="0.25">
      <c r="A58" t="s">
        <v>623</v>
      </c>
      <c r="B58" t="s">
        <v>624</v>
      </c>
      <c r="C58" t="s">
        <v>890</v>
      </c>
      <c r="D58" t="s">
        <v>625</v>
      </c>
      <c r="E58" s="1">
        <v>45771</v>
      </c>
      <c r="F58">
        <v>4</v>
      </c>
      <c r="G58">
        <v>24</v>
      </c>
      <c r="H58">
        <v>2025</v>
      </c>
      <c r="I58">
        <v>114</v>
      </c>
      <c r="J58">
        <v>-74.645037000000002</v>
      </c>
      <c r="K58">
        <v>165.38853700000001</v>
      </c>
      <c r="L58">
        <v>2008.24287</v>
      </c>
      <c r="M58">
        <v>5</v>
      </c>
      <c r="N58" s="2">
        <v>45771.535185185188</v>
      </c>
      <c r="O58" s="3">
        <v>0.53518518518518521</v>
      </c>
      <c r="P58" t="s">
        <v>626</v>
      </c>
      <c r="Q58" s="1">
        <v>45771</v>
      </c>
      <c r="R58" s="2">
        <v>45771.535185185188</v>
      </c>
      <c r="S58" s="4" t="s">
        <v>627</v>
      </c>
      <c r="T58" s="4" t="s">
        <v>628</v>
      </c>
      <c r="U58" s="4" t="s">
        <v>630</v>
      </c>
      <c r="V58" s="4" t="s">
        <v>629</v>
      </c>
      <c r="W58" s="4" t="s">
        <v>631</v>
      </c>
      <c r="X58" s="4" t="s">
        <v>629</v>
      </c>
      <c r="Y58">
        <v>0</v>
      </c>
      <c r="Z58" s="6">
        <v>5.2662521431978897</v>
      </c>
      <c r="AA58" s="5" t="s">
        <v>632</v>
      </c>
      <c r="AB58" s="4" t="s">
        <v>633</v>
      </c>
      <c r="AC58" s="4" t="s">
        <v>634</v>
      </c>
      <c r="AD58" s="4" t="s">
        <v>635</v>
      </c>
      <c r="AE58" s="4" t="s">
        <v>636</v>
      </c>
      <c r="AF58">
        <v>-52.312354153912203</v>
      </c>
      <c r="AG58" t="s">
        <v>885</v>
      </c>
      <c r="AH58" t="s">
        <v>885</v>
      </c>
      <c r="AI58" t="s">
        <v>885</v>
      </c>
      <c r="AJ58" t="s">
        <v>885</v>
      </c>
      <c r="AK58" t="s">
        <v>885</v>
      </c>
      <c r="AL58" t="s">
        <v>885</v>
      </c>
      <c r="AM58" t="s">
        <v>885</v>
      </c>
      <c r="AO58" s="5" t="s">
        <v>632</v>
      </c>
      <c r="AP58" s="4" t="s">
        <v>635</v>
      </c>
      <c r="AQ58" s="4" t="s">
        <v>636</v>
      </c>
    </row>
    <row r="59" spans="1:43" x14ac:dyDescent="0.25">
      <c r="A59" t="s">
        <v>623</v>
      </c>
      <c r="B59" t="s">
        <v>624</v>
      </c>
      <c r="C59" t="s">
        <v>890</v>
      </c>
      <c r="D59" t="s">
        <v>637</v>
      </c>
      <c r="E59" s="1">
        <v>45800</v>
      </c>
      <c r="F59">
        <v>5</v>
      </c>
      <c r="G59">
        <v>23</v>
      </c>
      <c r="H59">
        <v>2025</v>
      </c>
      <c r="I59">
        <v>143</v>
      </c>
      <c r="J59">
        <v>-74.645037000000002</v>
      </c>
      <c r="K59">
        <v>165.38853700000001</v>
      </c>
      <c r="L59">
        <v>3673.4911950000001</v>
      </c>
      <c r="M59">
        <v>5</v>
      </c>
      <c r="N59" s="2">
        <v>45800.596620370372</v>
      </c>
      <c r="O59" s="3">
        <v>0.59662037037037041</v>
      </c>
      <c r="P59" t="s">
        <v>638</v>
      </c>
      <c r="Q59" s="1">
        <v>45800</v>
      </c>
      <c r="R59" s="2">
        <v>45800.596620370372</v>
      </c>
      <c r="S59" s="4" t="s">
        <v>639</v>
      </c>
      <c r="T59" s="4" t="s">
        <v>640</v>
      </c>
      <c r="U59" s="4" t="s">
        <v>642</v>
      </c>
      <c r="V59" s="4" t="s">
        <v>641</v>
      </c>
      <c r="W59" s="4" t="s">
        <v>643</v>
      </c>
      <c r="X59" s="4" t="s">
        <v>641</v>
      </c>
      <c r="Y59">
        <v>0</v>
      </c>
      <c r="Z59" s="5" t="s">
        <v>644</v>
      </c>
      <c r="AA59" s="5" t="s">
        <v>645</v>
      </c>
      <c r="AB59" s="4" t="s">
        <v>646</v>
      </c>
      <c r="AC59" s="4" t="s">
        <v>647</v>
      </c>
      <c r="AD59" s="4" t="s">
        <v>648</v>
      </c>
      <c r="AE59" s="4" t="s">
        <v>649</v>
      </c>
      <c r="AF59">
        <v>-66.487805920523599</v>
      </c>
      <c r="AG59" t="s">
        <v>885</v>
      </c>
      <c r="AH59" t="s">
        <v>885</v>
      </c>
      <c r="AI59" t="s">
        <v>885</v>
      </c>
      <c r="AJ59" t="s">
        <v>885</v>
      </c>
      <c r="AK59" t="s">
        <v>885</v>
      </c>
      <c r="AL59" t="s">
        <v>885</v>
      </c>
      <c r="AM59" t="s">
        <v>885</v>
      </c>
      <c r="AO59" s="5" t="s">
        <v>645</v>
      </c>
      <c r="AP59" s="4" t="s">
        <v>648</v>
      </c>
      <c r="AQ59" s="4" t="s">
        <v>649</v>
      </c>
    </row>
    <row r="60" spans="1:43" x14ac:dyDescent="0.25">
      <c r="A60" t="s">
        <v>623</v>
      </c>
      <c r="B60" t="s">
        <v>624</v>
      </c>
      <c r="C60" t="s">
        <v>890</v>
      </c>
      <c r="D60" t="s">
        <v>650</v>
      </c>
      <c r="E60" s="1">
        <v>45821</v>
      </c>
      <c r="F60">
        <v>6</v>
      </c>
      <c r="G60">
        <v>13</v>
      </c>
      <c r="H60">
        <v>2025</v>
      </c>
      <c r="I60">
        <v>164</v>
      </c>
      <c r="J60">
        <v>-74.645037000000002</v>
      </c>
      <c r="K60">
        <v>165.38853700000001</v>
      </c>
      <c r="L60">
        <v>4585.7735970000003</v>
      </c>
      <c r="M60">
        <v>2</v>
      </c>
      <c r="N60" s="2">
        <v>45821.870810185188</v>
      </c>
      <c r="O60" s="3">
        <v>0.87081018518518516</v>
      </c>
      <c r="P60" t="s">
        <v>651</v>
      </c>
      <c r="Q60" s="1">
        <v>45821</v>
      </c>
      <c r="R60" s="2">
        <v>45821.870810185188</v>
      </c>
      <c r="S60" s="4" t="s">
        <v>652</v>
      </c>
      <c r="T60" s="4" t="s">
        <v>653</v>
      </c>
      <c r="U60" s="4" t="s">
        <v>654</v>
      </c>
      <c r="V60">
        <v>81.499143570913006</v>
      </c>
      <c r="W60" s="4" t="s">
        <v>655</v>
      </c>
      <c r="X60">
        <v>81.499143570913006</v>
      </c>
      <c r="Y60">
        <v>0</v>
      </c>
      <c r="Z60" s="5" t="s">
        <v>656</v>
      </c>
      <c r="AA60" s="5" t="s">
        <v>657</v>
      </c>
      <c r="AB60" s="4" t="s">
        <v>658</v>
      </c>
      <c r="AC60" s="4" t="s">
        <v>659</v>
      </c>
      <c r="AD60" s="4" t="s">
        <v>660</v>
      </c>
      <c r="AE60" s="4" t="s">
        <v>661</v>
      </c>
      <c r="AF60">
        <v>-61.7368827470534</v>
      </c>
      <c r="AG60" t="s">
        <v>885</v>
      </c>
      <c r="AH60" t="s">
        <v>885</v>
      </c>
      <c r="AI60" t="s">
        <v>885</v>
      </c>
      <c r="AJ60" t="s">
        <v>885</v>
      </c>
      <c r="AK60" t="s">
        <v>885</v>
      </c>
      <c r="AL60" t="s">
        <v>885</v>
      </c>
      <c r="AM60" t="s">
        <v>885</v>
      </c>
      <c r="AO60" s="5" t="s">
        <v>657</v>
      </c>
      <c r="AP60" s="4" t="s">
        <v>660</v>
      </c>
      <c r="AQ60" s="4" t="s">
        <v>661</v>
      </c>
    </row>
    <row r="61" spans="1:43" x14ac:dyDescent="0.25">
      <c r="A61" t="s">
        <v>623</v>
      </c>
      <c r="B61" t="s">
        <v>624</v>
      </c>
      <c r="C61" t="s">
        <v>890</v>
      </c>
      <c r="D61" t="s">
        <v>662</v>
      </c>
      <c r="E61" s="1">
        <v>45838</v>
      </c>
      <c r="F61">
        <v>6</v>
      </c>
      <c r="G61">
        <v>30</v>
      </c>
      <c r="H61">
        <v>2025</v>
      </c>
      <c r="I61">
        <v>181</v>
      </c>
      <c r="J61">
        <v>-74.645037000000002</v>
      </c>
      <c r="K61">
        <v>165.38853700000001</v>
      </c>
      <c r="L61">
        <v>1878.2226410000001</v>
      </c>
      <c r="M61">
        <v>5</v>
      </c>
      <c r="N61" s="2">
        <v>45838.808912037035</v>
      </c>
      <c r="O61" s="3">
        <v>0.80891203703703707</v>
      </c>
      <c r="P61" t="s">
        <v>663</v>
      </c>
      <c r="Q61" s="1">
        <v>45838</v>
      </c>
      <c r="R61" s="2">
        <v>45838.808912037035</v>
      </c>
      <c r="S61" s="4" t="s">
        <v>664</v>
      </c>
      <c r="T61" s="4" t="s">
        <v>665</v>
      </c>
      <c r="U61" s="4" t="s">
        <v>667</v>
      </c>
      <c r="V61" s="4" t="s">
        <v>666</v>
      </c>
      <c r="W61" s="4" t="s">
        <v>668</v>
      </c>
      <c r="X61" s="4" t="s">
        <v>666</v>
      </c>
      <c r="Y61">
        <v>0</v>
      </c>
      <c r="Z61" s="5" t="s">
        <v>669</v>
      </c>
      <c r="AA61" s="5" t="s">
        <v>670</v>
      </c>
      <c r="AB61" s="4" t="s">
        <v>671</v>
      </c>
      <c r="AC61">
        <v>5.8677180816086798</v>
      </c>
      <c r="AD61" s="4" t="s">
        <v>672</v>
      </c>
      <c r="AE61" s="4" t="s">
        <v>673</v>
      </c>
      <c r="AF61">
        <v>-69.371300805572503</v>
      </c>
      <c r="AG61" t="s">
        <v>885</v>
      </c>
      <c r="AH61" t="s">
        <v>885</v>
      </c>
      <c r="AI61" t="s">
        <v>885</v>
      </c>
      <c r="AJ61" t="s">
        <v>885</v>
      </c>
      <c r="AK61" t="s">
        <v>885</v>
      </c>
      <c r="AL61" t="s">
        <v>885</v>
      </c>
      <c r="AM61" t="s">
        <v>885</v>
      </c>
      <c r="AO61" s="5" t="s">
        <v>670</v>
      </c>
      <c r="AP61" s="4" t="s">
        <v>672</v>
      </c>
      <c r="AQ61" s="4" t="s">
        <v>673</v>
      </c>
    </row>
    <row r="62" spans="1:43" s="7" customFormat="1" x14ac:dyDescent="0.25">
      <c r="A62" s="7" t="s">
        <v>623</v>
      </c>
      <c r="B62" s="7" t="s">
        <v>624</v>
      </c>
      <c r="C62" s="7" t="s">
        <v>890</v>
      </c>
      <c r="D62" s="7" t="s">
        <v>674</v>
      </c>
      <c r="E62" s="8">
        <v>45856</v>
      </c>
      <c r="F62" s="7">
        <v>7</v>
      </c>
      <c r="G62" s="7">
        <v>18</v>
      </c>
      <c r="H62" s="7">
        <v>2025</v>
      </c>
      <c r="I62" s="7">
        <v>199</v>
      </c>
      <c r="J62" s="7">
        <v>-74.645037000000002</v>
      </c>
      <c r="K62" s="7">
        <v>165.38853700000001</v>
      </c>
      <c r="L62" s="7">
        <v>1934.234719</v>
      </c>
      <c r="M62" s="7">
        <v>5</v>
      </c>
      <c r="N62" s="9">
        <v>45856.862337962964</v>
      </c>
      <c r="O62" s="10">
        <v>0.86233796296296295</v>
      </c>
      <c r="P62" s="7" t="s">
        <v>675</v>
      </c>
      <c r="Q62" s="8">
        <v>45856</v>
      </c>
      <c r="R62" s="9">
        <v>45856.862337962964</v>
      </c>
      <c r="S62" s="11" t="s">
        <v>676</v>
      </c>
      <c r="T62" s="11" t="s">
        <v>677</v>
      </c>
      <c r="U62" s="11" t="s">
        <v>679</v>
      </c>
      <c r="V62" s="11" t="s">
        <v>678</v>
      </c>
      <c r="W62" s="11" t="s">
        <v>680</v>
      </c>
      <c r="X62" s="11" t="s">
        <v>678</v>
      </c>
      <c r="Y62" s="7">
        <v>0</v>
      </c>
      <c r="Z62" s="13">
        <v>6.7973175184587298</v>
      </c>
      <c r="AA62" s="12" t="s">
        <v>681</v>
      </c>
      <c r="AB62" s="11" t="s">
        <v>682</v>
      </c>
      <c r="AC62" s="7">
        <v>6.1116726051614396</v>
      </c>
      <c r="AD62" s="11" t="s">
        <v>683</v>
      </c>
      <c r="AE62" s="11" t="s">
        <v>684</v>
      </c>
      <c r="AF62" s="7">
        <v>-72.500400183683098</v>
      </c>
      <c r="AG62" t="s">
        <v>885</v>
      </c>
      <c r="AH62" t="s">
        <v>885</v>
      </c>
      <c r="AI62" t="s">
        <v>885</v>
      </c>
      <c r="AJ62" t="s">
        <v>885</v>
      </c>
      <c r="AK62" t="s">
        <v>885</v>
      </c>
      <c r="AL62" t="s">
        <v>885</v>
      </c>
      <c r="AM62" t="s">
        <v>885</v>
      </c>
      <c r="AO62" s="12" t="s">
        <v>681</v>
      </c>
      <c r="AP62" s="11" t="s">
        <v>683</v>
      </c>
      <c r="AQ62" s="11" t="s">
        <v>684</v>
      </c>
    </row>
    <row r="63" spans="1:43" x14ac:dyDescent="0.25">
      <c r="A63" t="s">
        <v>623</v>
      </c>
      <c r="B63" t="s">
        <v>624</v>
      </c>
      <c r="C63" t="s">
        <v>890</v>
      </c>
      <c r="D63" t="s">
        <v>685</v>
      </c>
      <c r="E63" s="1">
        <v>45875</v>
      </c>
      <c r="F63">
        <v>8</v>
      </c>
      <c r="G63">
        <v>6</v>
      </c>
      <c r="H63">
        <v>2025</v>
      </c>
      <c r="I63">
        <v>218</v>
      </c>
      <c r="J63">
        <v>-74.645037000000002</v>
      </c>
      <c r="K63">
        <v>165.38853700000001</v>
      </c>
      <c r="L63">
        <v>1336.664896</v>
      </c>
      <c r="M63">
        <v>5</v>
      </c>
      <c r="N63" s="2">
        <v>45875.538935185185</v>
      </c>
      <c r="O63" s="3">
        <v>0.53893518518518524</v>
      </c>
      <c r="P63" t="s">
        <v>686</v>
      </c>
      <c r="Q63" s="1">
        <v>45875</v>
      </c>
      <c r="R63" s="2">
        <v>45875.538935185185</v>
      </c>
      <c r="S63" s="4" t="s">
        <v>687</v>
      </c>
      <c r="T63" s="4" t="s">
        <v>688</v>
      </c>
      <c r="U63">
        <v>246.1220703125</v>
      </c>
      <c r="V63" s="4" t="s">
        <v>689</v>
      </c>
      <c r="W63" s="4" t="s">
        <v>690</v>
      </c>
      <c r="X63" s="4" t="s">
        <v>689</v>
      </c>
      <c r="Y63">
        <v>0</v>
      </c>
      <c r="Z63" s="5" t="s">
        <v>691</v>
      </c>
      <c r="AA63" s="5" t="s">
        <v>692</v>
      </c>
      <c r="AB63" s="4" t="s">
        <v>693</v>
      </c>
      <c r="AC63" s="4" t="s">
        <v>694</v>
      </c>
      <c r="AD63" s="4" t="s">
        <v>695</v>
      </c>
      <c r="AE63">
        <v>7713.7037051492298</v>
      </c>
      <c r="AF63">
        <v>-68.114072566260205</v>
      </c>
      <c r="AG63" t="s">
        <v>885</v>
      </c>
      <c r="AH63" t="s">
        <v>885</v>
      </c>
      <c r="AI63" t="s">
        <v>885</v>
      </c>
      <c r="AJ63" t="s">
        <v>885</v>
      </c>
      <c r="AK63" t="s">
        <v>885</v>
      </c>
      <c r="AL63" t="s">
        <v>885</v>
      </c>
      <c r="AM63" t="s">
        <v>885</v>
      </c>
      <c r="AO63" s="5" t="s">
        <v>692</v>
      </c>
      <c r="AP63" s="4" t="s">
        <v>695</v>
      </c>
      <c r="AQ63">
        <v>7713.7037051492298</v>
      </c>
    </row>
    <row r="64" spans="1:43" x14ac:dyDescent="0.25">
      <c r="A64" t="s">
        <v>623</v>
      </c>
      <c r="B64" t="s">
        <v>624</v>
      </c>
      <c r="C64" t="s">
        <v>890</v>
      </c>
      <c r="D64" t="s">
        <v>696</v>
      </c>
      <c r="E64" s="1">
        <v>45889</v>
      </c>
      <c r="F64">
        <v>8</v>
      </c>
      <c r="G64">
        <v>20</v>
      </c>
      <c r="H64">
        <v>2025</v>
      </c>
      <c r="I64">
        <v>232</v>
      </c>
      <c r="J64">
        <v>-74.645037000000002</v>
      </c>
      <c r="K64">
        <v>165.38853700000001</v>
      </c>
      <c r="L64">
        <v>1368.5051100000001</v>
      </c>
      <c r="M64">
        <v>5</v>
      </c>
      <c r="N64" s="2">
        <v>45889.872708333336</v>
      </c>
      <c r="O64" s="3">
        <v>0.87270833333333331</v>
      </c>
      <c r="P64" t="s">
        <v>697</v>
      </c>
      <c r="Q64" s="1">
        <v>45889</v>
      </c>
      <c r="R64" s="2">
        <v>45889.872708333336</v>
      </c>
      <c r="S64" s="4" t="s">
        <v>698</v>
      </c>
      <c r="T64" s="4" t="s">
        <v>699</v>
      </c>
      <c r="U64" s="4" t="s">
        <v>701</v>
      </c>
      <c r="V64" s="4" t="s">
        <v>700</v>
      </c>
      <c r="W64" s="4" t="s">
        <v>702</v>
      </c>
      <c r="X64" s="4" t="s">
        <v>700</v>
      </c>
      <c r="Y64">
        <v>0</v>
      </c>
      <c r="Z64" s="5" t="s">
        <v>703</v>
      </c>
      <c r="AA64" s="5" t="s">
        <v>704</v>
      </c>
      <c r="AB64" s="4" t="s">
        <v>705</v>
      </c>
      <c r="AC64" s="4" t="s">
        <v>706</v>
      </c>
      <c r="AD64" s="4" t="s">
        <v>707</v>
      </c>
      <c r="AE64" s="4" t="s">
        <v>708</v>
      </c>
      <c r="AF64">
        <v>-73.172905251969695</v>
      </c>
      <c r="AG64" t="s">
        <v>885</v>
      </c>
      <c r="AH64" t="s">
        <v>885</v>
      </c>
      <c r="AI64" t="s">
        <v>885</v>
      </c>
      <c r="AJ64" t="s">
        <v>885</v>
      </c>
      <c r="AK64" t="s">
        <v>885</v>
      </c>
      <c r="AL64" t="s">
        <v>885</v>
      </c>
      <c r="AM64" t="s">
        <v>885</v>
      </c>
      <c r="AO64" s="5" t="s">
        <v>704</v>
      </c>
      <c r="AP64" s="4" t="s">
        <v>707</v>
      </c>
      <c r="AQ64" s="4" t="s">
        <v>708</v>
      </c>
    </row>
    <row r="65" spans="1:43" x14ac:dyDescent="0.25">
      <c r="A65" t="s">
        <v>623</v>
      </c>
      <c r="B65" t="s">
        <v>624</v>
      </c>
      <c r="C65" t="s">
        <v>1071</v>
      </c>
      <c r="D65" t="s">
        <v>762</v>
      </c>
      <c r="E65" s="1">
        <v>45962</v>
      </c>
      <c r="F65">
        <v>11</v>
      </c>
      <c r="G65">
        <v>1</v>
      </c>
      <c r="H65">
        <v>2025</v>
      </c>
      <c r="I65">
        <v>305</v>
      </c>
      <c r="J65">
        <v>-74.645037000000002</v>
      </c>
      <c r="K65">
        <v>165.38853700000001</v>
      </c>
      <c r="L65">
        <v>6302.4041880000004</v>
      </c>
      <c r="M65">
        <v>5</v>
      </c>
      <c r="N65" s="2">
        <v>45962.862500000003</v>
      </c>
      <c r="O65" s="3">
        <v>0.86274305555555553</v>
      </c>
      <c r="P65" t="s">
        <v>854</v>
      </c>
      <c r="Q65" s="1">
        <v>45962</v>
      </c>
      <c r="R65" s="2">
        <v>45962.862500000003</v>
      </c>
      <c r="S65" s="4" t="s">
        <v>855</v>
      </c>
      <c r="T65" s="4" t="s">
        <v>856</v>
      </c>
      <c r="U65" s="4" t="s">
        <v>857</v>
      </c>
      <c r="V65" s="4" t="s">
        <v>858</v>
      </c>
      <c r="W65" s="4" t="s">
        <v>859</v>
      </c>
      <c r="X65" s="4" t="s">
        <v>858</v>
      </c>
      <c r="Y65" s="4" t="s">
        <v>860</v>
      </c>
      <c r="Z65" s="4" t="s">
        <v>861</v>
      </c>
      <c r="AA65" s="4" t="s">
        <v>862</v>
      </c>
      <c r="AB65" s="4" t="s">
        <v>863</v>
      </c>
      <c r="AC65" s="4" t="s">
        <v>864</v>
      </c>
      <c r="AD65" s="4" t="s">
        <v>865</v>
      </c>
      <c r="AE65" s="4" t="s">
        <v>866</v>
      </c>
      <c r="AF65">
        <v>-49.545239199999997</v>
      </c>
      <c r="AG65">
        <v>6819.6388978741297</v>
      </c>
      <c r="AH65">
        <v>1786.3114644796401</v>
      </c>
      <c r="AI65">
        <v>4235.5532993673896</v>
      </c>
      <c r="AJ65">
        <v>4509.13299553872</v>
      </c>
      <c r="AK65">
        <v>6527.4515037647398</v>
      </c>
      <c r="AL65">
        <v>10111.3510870258</v>
      </c>
      <c r="AM65">
        <v>11092.7473120021</v>
      </c>
      <c r="AO65">
        <f t="shared" ref="AO65" si="12">AG65</f>
        <v>6819.6388978741297</v>
      </c>
      <c r="AP65">
        <f t="shared" ref="AP65" si="13">AG65+AH65</f>
        <v>8605.9503623537694</v>
      </c>
      <c r="AQ65">
        <f t="shared" ref="AQ65" si="14">AG65-AH65</f>
        <v>5033.3274333944901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full combined</vt:lpstr>
      <vt:lpstr>SAR 2025</vt:lpstr>
      <vt:lpstr>SAR 2024</vt:lpstr>
      <vt:lpstr>SAR BP</vt:lpstr>
      <vt:lpstr>VHR</vt:lpstr>
      <vt:lpstr>Chicks</vt:lpstr>
      <vt:lpstr>VHR areas</vt:lpstr>
      <vt:lpstr>density model VHR</vt:lpstr>
      <vt:lpstr>combined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RFD</cp:lastModifiedBy>
  <dcterms:created xsi:type="dcterms:W3CDTF">2026-05-22T01:05:27Z</dcterms:created>
  <dcterms:modified xsi:type="dcterms:W3CDTF">2026-10-15T22:57:22Z</dcterms:modified>
</cp:coreProperties>
</file>