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738" documentId="8_{C36C3FC0-118D-426B-A4A0-6E6EFE06D4BA}" xr6:coauthVersionLast="47" xr6:coauthVersionMax="47" xr10:uidLastSave="{8E7C297B-C273-42C7-BE10-EA410BDF0739}"/>
  <bookViews>
    <workbookView xWindow="-120" yWindow="-120" windowWidth="29040" windowHeight="15720" xr2:uid="{D741B97E-D510-4026-838A-5DA85EBB5CBC}"/>
  </bookViews>
  <sheets>
    <sheet name="full combined" sheetId="9" r:id="rId1"/>
    <sheet name="SAR 2025" sheetId="1" r:id="rId2"/>
    <sheet name="SAR 2024" sheetId="6" r:id="rId3"/>
    <sheet name="SAR BP" sheetId="5" r:id="rId4"/>
    <sheet name="VHR" sheetId="2" r:id="rId5"/>
    <sheet name="Chicks" sheetId="8" r:id="rId6"/>
    <sheet name="VHR areas" sheetId="7" r:id="rId7"/>
    <sheet name="density model VHR" sheetId="4" r:id="rId8"/>
    <sheet name="combined" sheetId="3" r:id="rId9"/>
  </sheets>
  <definedNames>
    <definedName name="_xlnm._FilterDatabase" localSheetId="0" hidden="1">'full combined'!$A$1:$AU$1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5" l="1"/>
  <c r="V3" i="5"/>
  <c r="V4" i="5"/>
  <c r="V5" i="5"/>
  <c r="V6" i="5"/>
  <c r="V7" i="5"/>
  <c r="V8" i="5"/>
  <c r="V10" i="5"/>
  <c r="V11" i="5"/>
  <c r="V12" i="5"/>
  <c r="V13" i="5"/>
  <c r="V9" i="5"/>
  <c r="AQ65" i="3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<sst xmlns="http://schemas.openxmlformats.org/spreadsheetml/2006/main" count="3719" uniqueCount="1085">
  <si>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</si>
  <si>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</si>
  <si>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</si>
  <si>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</si>
  <si>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</si>
  <si>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</si>
  <si>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</si>
  <si>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</si>
  <si>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</si>
  <si>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</si>
  <si>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</si>
  <si>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</si>
  <si>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</si>
  <si>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</si>
  <si>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</si>
  <si>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</si>
  <si>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</si>
  <si>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</si>
  <si>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</si>
  <si>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</si>
  <si>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</si>
  <si>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</si>
  <si>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</si>
  <si>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</si>
  <si>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</si>
  <si>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</si>
  <si>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</si>
  <si>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</si>
  <si>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</si>
  <si>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</si>
  <si>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</si>
  <si>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</si>
  <si>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</si>
  <si>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</si>
  <si>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</si>
  <si>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</si>
  <si>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</si>
  <si>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</si>
  <si>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</si>
  <si>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</si>
  <si>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</si>
  <si>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</si>
  <si>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</si>
  <si>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</si>
  <si>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</si>
  <si>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</si>
  <si>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</si>
  <si>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</si>
  <si>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</si>
  <si>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</si>
  <si>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</si>
  <si>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</si>
  <si>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</si>
  <si>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</si>
  <si>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</si>
  <si>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</si>
  <si>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</si>
  <si>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</si>
  <si>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</si>
  <si>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</si>
  <si>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</si>
  <si>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</si>
  <si>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</si>
  <si>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</si>
  <si>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</si>
  <si>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</si>
  <si>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</si>
  <si>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</si>
  <si>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</si>
  <si>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</si>
  <si>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</si>
  <si>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</si>
  <si>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</si>
  <si>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</si>
  <si>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</si>
  <si>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</si>
  <si>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</si>
  <si>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</si>
  <si>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</si>
  <si>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</si>
  <si>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</si>
  <si>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</si>
  <si>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</si>
  <si>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</si>
  <si>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</si>
  <si>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</si>
  <si>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</si>
  <si>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</si>
  <si>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</si>
  <si>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</si>
  <si>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</si>
  <si>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</si>
  <si>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</si>
  <si>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</si>
  <si>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</si>
  <si>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</si>
  <si>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</si>
  <si>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</si>
  <si>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</si>
  <si>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</si>
  <si>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</si>
  <si>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</si>
  <si>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</si>
  <si>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</si>
  <si>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</si>
  <si>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</si>
  <si>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</si>
  <si>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</si>
  <si>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</si>
  <si>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</si>
  <si>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</si>
  <si>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</si>
  <si>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</si>
  <si>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</si>
  <si>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</si>
  <si>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</si>
  <si>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</si>
  <si>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</si>
  <si>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</si>
  <si>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</si>
  <si>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</si>
  <si>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</si>
  <si>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</si>
  <si>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</si>
  <si>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</si>
  <si>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</si>
  <si>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</si>
  <si>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</si>
  <si>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</si>
  <si>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</si>
  <si>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</si>
  <si>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</si>
  <si>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</si>
  <si>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</si>
  <si>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</si>
  <si>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</si>
  <si>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</si>
  <si>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</si>
  <si>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</si>
  <si>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</si>
  <si>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</si>
  <si>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</si>
  <si>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</si>
  <si>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</si>
  <si>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</si>
  <si>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</si>
  <si>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</si>
  <si>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</si>
  <si>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</si>
  <si>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</si>
  <si>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</si>
  <si>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</si>
  <si>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</si>
  <si>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</si>
  <si>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</si>
  <si>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</si>
  <si>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</si>
  <si>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</si>
  <si>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</si>
  <si>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</si>
  <si>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</si>
  <si>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</si>
  <si>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</si>
  <si>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</si>
  <si>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</si>
  <si>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</si>
  <si>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</si>
  <si>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</si>
  <si>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</si>
  <si>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</si>
  <si>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</si>
  <si>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</si>
  <si>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</si>
  <si>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</si>
  <si>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</si>
  <si>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</si>
  <si>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</si>
  <si>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</si>
  <si>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</si>
  <si>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</si>
  <si>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</si>
  <si>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</si>
  <si>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</si>
  <si>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</si>
  <si>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</si>
  <si>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</si>
  <si>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</si>
  <si>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</si>
  <si>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</si>
  <si>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</si>
  <si>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</si>
  <si>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</si>
  <si>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</si>
  <si>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</si>
  <si>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</si>
  <si>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</si>
  <si>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</si>
  <si>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</si>
  <si>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</si>
  <si>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</si>
  <si>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</si>
  <si>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</si>
  <si>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</si>
  <si>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</si>
  <si>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</si>
  <si>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</si>
  <si>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</si>
  <si>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</si>
  <si>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</si>
  <si>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</si>
  <si>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</si>
  <si>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</si>
  <si>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</si>
  <si>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</si>
  <si>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</si>
  <si>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</si>
  <si>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</si>
  <si>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</si>
  <si>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</si>
  <si>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</si>
  <si>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</si>
  <si>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</si>
  <si>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</si>
  <si>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</si>
  <si>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</si>
  <si>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</si>
  <si>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</si>
  <si>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</si>
  <si>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</si>
  <si>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</si>
  <si>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</si>
  <si>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</si>
  <si>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</si>
  <si>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</si>
  <si>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</si>
  <si>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</si>
  <si>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</si>
  <si>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</si>
  <si>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</si>
  <si>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</si>
  <si>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</si>
  <si>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</si>
  <si>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</si>
  <si>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</si>
  <si>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</si>
  <si>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</si>
  <si>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</si>
  <si>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</si>
  <si>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</si>
  <si>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</si>
  <si>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</si>
  <si>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</si>
  <si>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</si>
  <si>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</si>
  <si>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</si>
  <si>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</si>
  <si>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</si>
  <si>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</si>
  <si>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</si>
  <si>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</si>
  <si>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</si>
  <si>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</si>
  <si>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</si>
  <si>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</si>
  <si>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</si>
  <si>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</si>
  <si>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</si>
  <si>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</si>
  <si>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</si>
  <si>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</si>
  <si>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</si>
  <si>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</si>
  <si>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</si>
  <si>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</si>
  <si>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</si>
  <si>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</si>
  <si>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</si>
  <si>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</si>
  <si>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</si>
  <si>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</si>
  <si>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</si>
  <si>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</si>
  <si>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</si>
  <si>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</si>
  <si>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</si>
  <si>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</si>
  <si>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</si>
  <si>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</si>
  <si>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</si>
  <si>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</si>
  <si>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</si>
  <si>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</si>
  <si>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</si>
  <si>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</si>
  <si>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</si>
  <si>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</si>
  <si>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</si>
  <si>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</si>
  <si>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</si>
  <si>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</si>
  <si>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</si>
  <si>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</si>
  <si>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</si>
  <si>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</si>
  <si>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</si>
  <si>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</si>
  <si>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</si>
  <si>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</si>
  <si>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</si>
  <si>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</si>
  <si>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</si>
  <si>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</si>
  <si>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</si>
  <si>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</si>
  <si>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</si>
  <si>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</si>
  <si>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</si>
  <si>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</si>
  <si>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</si>
  <si>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</si>
  <si>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</si>
  <si>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</si>
  <si>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</si>
  <si>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</si>
  <si>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</si>
  <si>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</si>
  <si>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</si>
  <si>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</si>
  <si>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</si>
  <si>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</si>
  <si>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</si>
  <si>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</si>
  <si>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</si>
  <si>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</si>
  <si>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</si>
  <si>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</si>
  <si>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</si>
  <si>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</si>
  <si>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</si>
  <si>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</si>
  <si>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</si>
  <si>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</si>
  <si>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</si>
  <si>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</si>
  <si>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</si>
  <si>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</si>
  <si>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</si>
  <si>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</si>
  <si>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</si>
  <si>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</si>
  <si>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</si>
  <si>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</si>
  <si>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</si>
  <si>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</si>
  <si>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</si>
  <si>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</si>
  <si>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</si>
  <si>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</si>
  <si>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</si>
  <si>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</si>
  <si>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</si>
  <si>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</si>
  <si>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</si>
  <si>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</si>
  <si>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</si>
  <si>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</si>
  <si>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</si>
  <si>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</si>
  <si>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</si>
  <si>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</si>
  <si>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</si>
  <si>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</si>
  <si>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</si>
  <si>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</si>
  <si>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</si>
  <si>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</si>
  <si>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</si>
  <si>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</si>
  <si>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</si>
  <si>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</si>
  <si>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</si>
  <si>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</si>
  <si>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</si>
  <si>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</si>
  <si>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</si>
  <si>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</si>
  <si>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</si>
  <si>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</si>
  <si>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</si>
  <si>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</si>
  <si>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</si>
  <si>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</si>
  <si>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</si>
  <si>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</si>
  <si>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</si>
  <si>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</si>
  <si>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</si>
  <si>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</si>
  <si>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</si>
  <si>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</si>
  <si>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</si>
  <si>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</si>
  <si>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</si>
  <si>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</si>
  <si>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</si>
  <si>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</si>
  <si>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</si>
  <si>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</si>
  <si>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</si>
  <si>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</si>
  <si>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</si>
  <si>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</si>
  <si>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</si>
  <si>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</si>
  <si>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</si>
  <si>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</si>
  <si>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</si>
  <si>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</si>
  <si>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</si>
  <si>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</si>
  <si>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</si>
  <si>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</si>
  <si>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</si>
  <si>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</si>
  <si>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</si>
  <si>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</si>
  <si>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</si>
  <si>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</si>
  <si>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</si>
  <si>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</si>
  <si>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</si>
  <si>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</si>
  <si>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</si>
  <si>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</si>
  <si>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</si>
  <si>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</si>
  <si>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</si>
  <si>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</si>
  <si>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</si>
  <si>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</si>
  <si>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</si>
  <si>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</si>
  <si>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</si>
  <si>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</si>
  <si>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</si>
  <si>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</si>
  <si>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</si>
  <si>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</si>
  <si>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</si>
  <si>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</si>
  <si>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</si>
  <si>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</si>
  <si>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</si>
  <si>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</si>
  <si>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</si>
  <si>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</si>
  <si>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</si>
  <si>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</si>
  <si>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</si>
  <si>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</si>
  <si>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</si>
  <si>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</si>
  <si>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</si>
  <si>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</si>
  <si>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</si>
  <si>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</si>
  <si>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</si>
  <si>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</si>
  <si>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</si>
  <si>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</si>
  <si>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</si>
  <si>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</si>
  <si>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</si>
  <si>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</si>
  <si>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</si>
  <si>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</si>
  <si>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</si>
  <si>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</si>
  <si>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</si>
  <si>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</si>
  <si>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</si>
  <si>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</si>
  <si>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</si>
  <si>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</si>
  <si>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</si>
  <si>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</si>
  <si>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</si>
  <si>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</si>
  <si>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</si>
  <si>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</si>
  <si>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</si>
  <si>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</si>
  <si>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</si>
  <si>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</si>
  <si>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</si>
  <si>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</si>
  <si>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</si>
  <si>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</si>
  <si>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</si>
  <si>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</si>
  <si>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</si>
  <si>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</si>
  <si>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</si>
  <si>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</si>
  <si>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</si>
  <si>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</si>
  <si>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</si>
  <si>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</si>
  <si>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</si>
  <si>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</si>
  <si>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</si>
  <si>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</si>
  <si>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</si>
  <si>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</si>
  <si>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</si>
  <si>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</si>
  <si>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</si>
  <si>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</si>
  <si>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</si>
  <si>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</si>
  <si>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</si>
  <si>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</si>
  <si>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</si>
  <si>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</si>
  <si>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</si>
  <si>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</si>
  <si>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</si>
  <si>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</si>
  <si>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</si>
  <si>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</si>
  <si>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</si>
  <si>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</si>
  <si>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</si>
  <si>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</si>
  <si>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</si>
  <si>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</si>
  <si>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</si>
  <si>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</si>
  <si>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</si>
  <si>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</si>
  <si>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</si>
  <si>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</si>
  <si>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</si>
  <si>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</si>
  <si>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</si>
  <si>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</si>
  <si>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</si>
  <si>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</si>
  <si>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</si>
  <si>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</si>
  <si>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</si>
  <si>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</si>
  <si>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</si>
  <si>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</si>
  <si>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</si>
  <si>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</si>
  <si>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</si>
  <si>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</si>
  <si>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</si>
  <si>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</si>
  <si>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</si>
  <si>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</si>
  <si>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</si>
  <si>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</si>
  <si>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</si>
  <si>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</si>
  <si>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</si>
  <si>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</si>
  <si>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</si>
  <si>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</si>
  <si>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</si>
  <si>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</si>
  <si>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</si>
  <si>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</si>
  <si>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</si>
  <si>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</si>
  <si>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</si>
  <si>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</si>
  <si>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</si>
  <si>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</si>
  <si>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</si>
  <si>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</si>
  <si>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</si>
  <si>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</si>
  <si>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</si>
  <si>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</si>
  <si>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</si>
  <si>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</si>
  <si>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</si>
  <si>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</si>
  <si>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</si>
  <si>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</si>
  <si>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</si>
  <si>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</si>
  <si>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</si>
  <si>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</si>
  <si>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</si>
  <si>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</si>
  <si>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</si>
  <si>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</si>
  <si>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</si>
  <si>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</si>
  <si>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</si>
  <si>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</si>
  <si>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</si>
  <si>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</si>
  <si>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</si>
  <si>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</si>
  <si>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</si>
  <si>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</si>
  <si>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</si>
  <si>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</si>
  <si>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</si>
  <si>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</si>
  <si>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</si>
  <si>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</si>
  <si>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</si>
  <si>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</si>
  <si>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</si>
  <si>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</si>
  <si>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</si>
  <si>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</si>
  <si>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</si>
  <si>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</si>
  <si>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</si>
  <si>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</si>
  <si>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</si>
  <si>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</si>
  <si>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</si>
  <si>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</si>
  <si>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</si>
  <si>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</si>
  <si>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</si>
  <si>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</si>
  <si>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</si>
  <si>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</si>
  <si>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</si>
  <si>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</si>
  <si>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</si>
  <si>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</si>
  <si>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</si>
  <si>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</si>
  <si>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</si>
  <si>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</si>
  <si>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</si>
  <si>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</si>
  <si>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</si>
  <si>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</si>
  <si>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</si>
  <si>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</si>
  <si>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</si>
  <si>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</si>
  <si>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</si>
  <si>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</si>
  <si>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</si>
  <si>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</si>
  <si>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</si>
  <si>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</si>
  <si>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</si>
  <si>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</si>
  <si>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</si>
  <si>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</si>
  <si>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</si>
  <si>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</si>
  <si>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</si>
  <si>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</si>
  <si>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</si>
  <si>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</si>
  <si>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</si>
  <si>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</si>
  <si>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</si>
  <si>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</si>
  <si>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</si>
  <si>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</si>
  <si>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</si>
  <si>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</si>
  <si>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</si>
  <si>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</si>
  <si>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</si>
  <si>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</si>
  <si>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</si>
  <si>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</si>
  <si>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</si>
  <si>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</si>
  <si>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</si>
  <si>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</si>
  <si>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</si>
  <si>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</si>
  <si>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</si>
  <si>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</si>
  <si>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</si>
  <si>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</si>
  <si>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</si>
  <si>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</si>
  <si>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</si>
  <si>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</si>
  <si>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</si>
  <si>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</si>
  <si>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</si>
  <si>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</si>
  <si>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</si>
  <si>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</si>
  <si>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</si>
  <si>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</si>
  <si>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</si>
  <si>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</si>
  <si>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</si>
  <si>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</si>
  <si>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</si>
  <si>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</si>
  <si>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</si>
  <si>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</si>
  <si>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</si>
  <si>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</si>
  <si>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</si>
  <si>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</si>
  <si>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</si>
  <si>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</si>
  <si>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</si>
  <si>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</si>
  <si>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</si>
  <si>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</si>
  <si>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</si>
  <si>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</si>
  <si>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</si>
  <si>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</si>
  <si>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</si>
  <si>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</si>
  <si>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</si>
  <si>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</si>
  <si>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</si>
  <si>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</si>
  <si>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</si>
  <si>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</si>
  <si>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</si>
  <si>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</si>
  <si>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</si>
  <si>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</si>
  <si>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</si>
  <si>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</si>
  <si>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</si>
  <si>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</si>
  <si>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</si>
  <si>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</si>
  <si>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</si>
  <si>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</si>
  <si>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</si>
  <si>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</si>
  <si>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</si>
  <si>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</si>
  <si>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</si>
  <si>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</si>
  <si>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</si>
  <si>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</si>
  <si>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</si>
  <si>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</si>
  <si>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</si>
  <si>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</si>
  <si>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</si>
  <si>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</si>
  <si>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</si>
  <si>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</si>
  <si>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</si>
  <si>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</si>
  <si>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</si>
  <si>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</si>
  <si>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</si>
  <si>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</si>
  <si>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</si>
  <si>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</si>
  <si>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</si>
  <si>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</si>
  <si>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</si>
  <si>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</si>
  <si>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</si>
  <si>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</si>
  <si>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</si>
  <si>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</si>
  <si>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</si>
  <si>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</si>
  <si>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</si>
  <si>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</si>
  <si>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</si>
  <si>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</si>
  <si>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</si>
  <si>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</si>
  <si>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</si>
  <si>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</si>
  <si>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</si>
  <si>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</si>
  <si>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</si>
  <si>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</si>
  <si>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</si>
  <si>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</si>
  <si>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</si>
  <si>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</si>
  <si>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</si>
  <si>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</si>
  <si>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</si>
  <si>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</si>
  <si>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</si>
  <si>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</si>
  <si>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</si>
  <si>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</si>
  <si>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</si>
  <si>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</si>
  <si>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</si>
  <si>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</si>
  <si>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</si>
  <si>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</si>
  <si>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</si>
  <si>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</si>
  <si>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</si>
  <si>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</si>
  <si>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</si>
  <si>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</si>
  <si>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</si>
  <si>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</si>
  <si>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</si>
  <si>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</si>
  <si>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</si>
  <si>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</si>
  <si>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</si>
  <si>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</si>
  <si>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</si>
  <si>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</si>
  <si>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</si>
  <si>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</si>
  <si>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</si>
  <si>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</si>
  <si>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</si>
  <si>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</si>
  <si>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</si>
  <si>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</si>
  <si>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</si>
  <si>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</si>
  <si>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</si>
  <si>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</si>
  <si>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</si>
  <si>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</si>
  <si>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</si>
  <si>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</si>
  <si>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</si>
  <si>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</si>
  <si>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</si>
  <si>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</si>
  <si>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</si>
  <si>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</si>
  <si>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</si>
  <si>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</si>
  <si>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</si>
  <si>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</si>
  <si>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</si>
  <si>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</si>
  <si>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</si>
  <si>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</si>
  <si>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</si>
  <si>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</si>
  <si>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</si>
  <si>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</si>
  <si>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</si>
  <si>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</si>
  <si>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</si>
  <si>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</si>
  <si>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</si>
  <si>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</si>
  <si>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</si>
  <si>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</si>
  <si>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</si>
  <si>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</si>
  <si>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</si>
  <si>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</si>
  <si>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</si>
  <si>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</si>
  <si>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</si>
  <si>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</si>
  <si>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</si>
  <si>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</si>
  <si>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</si>
  <si>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</si>
  <si>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</si>
  <si>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</si>
  <si>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</si>
  <si>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</si>
  <si>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</si>
  <si>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</si>
  <si>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</si>
  <si>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</si>
  <si>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</si>
  <si>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</si>
  <si>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</si>
  <si>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</si>
  <si>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</si>
  <si>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</si>
  <si>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</si>
  <si>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</si>
  <si>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</si>
  <si>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</si>
  <si>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</si>
  <si>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</si>
  <si>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</si>
  <si>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</si>
  <si>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</si>
  <si>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</si>
  <si>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</si>
  <si>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</si>
  <si>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</si>
  <si>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</si>
  <si>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</si>
  <si>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</si>
  <si>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</si>
  <si>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</si>
  <si>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</si>
  <si>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</si>
  <si>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</si>
  <si>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</si>
  <si>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</si>
  <si>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</si>
  <si>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</si>
  <si>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</si>
  <si>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</si>
  <si>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</si>
  <si>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</si>
  <si>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</si>
  <si>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</si>
  <si>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</si>
  <si>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</si>
  <si>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</si>
  <si>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</si>
  <si>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</si>
  <si>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</si>
  <si>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</si>
  <si>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</si>
  <si>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</si>
  <si>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</si>
  <si>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</si>
  <si>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</si>
  <si>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</si>
  <si>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</si>
  <si>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</si>
  <si>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</si>
  <si>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</si>
  <si>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</si>
  <si>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</si>
  <si>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</si>
  <si>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</si>
  <si>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</si>
  <si>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</si>
  <si>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</si>
  <si>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</si>
  <si>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</si>
  <si>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</si>
  <si>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</si>
  <si>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</si>
  <si>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</si>
  <si>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</si>
  <si>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</si>
  <si>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</si>
  <si>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</si>
  <si>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</si>
  <si>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</si>
  <si>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</si>
  <si>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</si>
  <si>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</si>
  <si>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</si>
  <si>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</si>
  <si>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</si>
  <si>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</si>
  <si>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</si>
  <si>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</si>
  <si>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</si>
  <si>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</si>
  <si>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</si>
  <si>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</si>
  <si>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</si>
  <si>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</si>
  <si>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</si>
  <si>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</si>
  <si>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</si>
  <si>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</si>
  <si>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</si>
  <si>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</si>
  <si>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</si>
  <si>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</si>
  <si>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</si>
  <si>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</si>
  <si>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</si>
  <si>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</si>
  <si>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</si>
  <si>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</si>
  <si>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</si>
  <si>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</si>
  <si>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</si>
  <si>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</si>
  <si>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</si>
  <si>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</si>
  <si>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</si>
  <si>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</si>
  <si>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</si>
  <si>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</si>
  <si>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</si>
  <si>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</si>
  <si>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</si>
  <si>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</si>
  <si>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</si>
  <si>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</si>
  <si>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</si>
  <si>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</si>
  <si>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</si>
  <si>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</si>
  <si>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</si>
  <si>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</si>
  <si>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</si>
  <si>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</si>
  <si>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</si>
  <si>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</si>
  <si>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</si>
  <si>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</si>
  <si>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</si>
  <si>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</si>
  <si>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</si>
  <si>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</si>
  <si>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</si>
  <si>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</si>
  <si>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</si>
  <si>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</si>
  <si>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</si>
  <si>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</si>
  <si>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</si>
  <si>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</si>
  <si>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</si>
  <si>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</si>
  <si>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</si>
  <si>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</si>
  <si>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</si>
  <si>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</si>
  <si>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</si>
  <si>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</si>
  <si>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</si>
  <si>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</si>
  <si>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</si>
  <si>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</si>
  <si>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</si>
  <si>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</si>
  <si>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</si>
  <si>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</si>
  <si>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</si>
  <si>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</si>
  <si>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</si>
  <si>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</si>
  <si>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</si>
  <si>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</si>
  <si>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</si>
  <si>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</si>
  <si>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</si>
  <si>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</si>
  <si>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</si>
  <si>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</si>
  <si>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</si>
  <si>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</si>
  <si>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</si>
  <si>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</si>
  <si>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</si>
  <si>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</si>
  <si>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</si>
  <si>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</si>
  <si>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</si>
  <si>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</si>
  <si>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</si>
  <si>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</si>
  <si>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</si>
  <si>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</si>
  <si>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</si>
  <si>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</si>
  <si>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</si>
  <si>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</si>
  <si>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</si>
  <si>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</si>
  <si>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</si>
  <si>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</si>
  <si>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</si>
  <si>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</si>
  <si>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removed</t>
  </si>
  <si>
    <t>coeff_sd_pm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</si>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</sst>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U165"/>
  <sheetViews>
    <sheetView tabSelected="1" workbookViewId="0">
      <selection activeCell="J58" sqref="J58"/>
    </sheetView>
  </sheetViews>
  <sheetFormatPr defaultRowHeight="15" x14ac:dyDescent="0.25"/>
  <cols>
    <col min="1" max="1" width="12.140625" customWidth="1"/>
    <col min="3" max="3" width="18.85546875" customWidth="1"/>
    <col min="4" max="4" width="15.14062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34" x14ac:dyDescent="0.25">
      <c r="A1" t="s">
        <v>769</v>
      </c>
      <c r="B1" t="s">
        <v>69</v>
      </c>
      <c r="C1" t="s">
        <v>1072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1057</v>
      </c>
      <c r="L1" t="s">
        <v>1073</v>
      </c>
      <c r="M1" t="s">
        <v>772</v>
      </c>
      <c r="N1" t="s">
        <v>771</v>
      </c>
    </row>
    <row r="2" spans="1:34" x14ac:dyDescent="0.25">
      <c r="A2" t="s">
        <v>364</v>
      </c>
      <c r="B2" t="s">
        <v>365</v>
      </c>
      <c r="C2" t="s">
        <v>1066</v>
      </c>
      <c r="D2" s="1">
        <v>45617</v>
      </c>
      <c r="E2">
        <v>11</v>
      </c>
      <c r="F2">
        <v>21</v>
      </c>
      <c r="G2">
        <v>2024</v>
      </c>
      <c r="H2">
        <v>325</v>
      </c>
      <c r="I2">
        <v>-77.452742490000006</v>
      </c>
      <c r="J2" s="4" t="s">
        <v>911</v>
      </c>
      <c r="K2" s="14">
        <v>1075</v>
      </c>
      <c r="M2" t="s">
        <v>1066</v>
      </c>
      <c r="N2" t="s">
        <v>1064</v>
      </c>
    </row>
    <row r="3" spans="1:34" x14ac:dyDescent="0.25">
      <c r="A3" t="s">
        <v>364</v>
      </c>
      <c r="B3" t="s">
        <v>365</v>
      </c>
      <c r="C3" t="s">
        <v>1066</v>
      </c>
      <c r="D3" s="1">
        <v>45983</v>
      </c>
      <c r="E3">
        <v>11</v>
      </c>
      <c r="F3">
        <v>22</v>
      </c>
      <c r="G3">
        <v>2025</v>
      </c>
      <c r="H3">
        <v>326</v>
      </c>
      <c r="I3">
        <v>-77.452742490000006</v>
      </c>
      <c r="J3" s="4" t="s">
        <v>911</v>
      </c>
      <c r="K3" s="14">
        <v>627</v>
      </c>
      <c r="M3" t="s">
        <v>1066</v>
      </c>
      <c r="N3" t="s">
        <v>1064</v>
      </c>
    </row>
    <row r="4" spans="1:34" x14ac:dyDescent="0.25">
      <c r="A4" t="s">
        <v>240</v>
      </c>
      <c r="B4" t="s">
        <v>241</v>
      </c>
      <c r="C4" t="s">
        <v>1062</v>
      </c>
      <c r="D4" s="1">
        <v>45617</v>
      </c>
      <c r="E4">
        <v>11</v>
      </c>
      <c r="F4">
        <v>21</v>
      </c>
      <c r="G4">
        <v>2024</v>
      </c>
      <c r="H4">
        <v>325</v>
      </c>
      <c r="I4">
        <v>-73.349999999999994</v>
      </c>
      <c r="J4">
        <v>169.61</v>
      </c>
      <c r="K4" s="14">
        <v>21242</v>
      </c>
      <c r="L4" t="s">
        <v>885</v>
      </c>
      <c r="M4" t="s">
        <v>1062</v>
      </c>
      <c r="N4" t="s">
        <v>1063</v>
      </c>
    </row>
    <row r="5" spans="1:34" x14ac:dyDescent="0.25">
      <c r="A5" t="s">
        <v>240</v>
      </c>
      <c r="B5" t="s">
        <v>241</v>
      </c>
      <c r="C5" t="s">
        <v>1062</v>
      </c>
      <c r="D5" s="1">
        <v>45997</v>
      </c>
      <c r="E5">
        <v>12</v>
      </c>
      <c r="F5">
        <v>6</v>
      </c>
      <c r="G5">
        <v>2025</v>
      </c>
      <c r="H5">
        <v>340</v>
      </c>
      <c r="I5">
        <v>-73.349999999999994</v>
      </c>
      <c r="J5">
        <v>169.61</v>
      </c>
      <c r="K5" s="14">
        <v>6686</v>
      </c>
      <c r="L5" t="s">
        <v>885</v>
      </c>
      <c r="M5" t="s">
        <v>1062</v>
      </c>
      <c r="N5" t="s">
        <v>1063</v>
      </c>
    </row>
    <row r="6" spans="1:34" x14ac:dyDescent="0.25">
      <c r="A6" t="s">
        <v>364</v>
      </c>
      <c r="B6" t="s">
        <v>365</v>
      </c>
      <c r="C6" t="s">
        <v>1062</v>
      </c>
      <c r="D6" s="1">
        <v>45617</v>
      </c>
      <c r="E6">
        <v>11</v>
      </c>
      <c r="F6">
        <v>21</v>
      </c>
      <c r="G6">
        <v>2024</v>
      </c>
      <c r="H6">
        <v>325</v>
      </c>
      <c r="I6">
        <v>-77.452742490000006</v>
      </c>
      <c r="J6" s="4" t="s">
        <v>911</v>
      </c>
      <c r="K6" s="14">
        <v>2773</v>
      </c>
      <c r="M6" t="s">
        <v>1062</v>
      </c>
      <c r="N6" t="s">
        <v>1064</v>
      </c>
    </row>
    <row r="7" spans="1:34" x14ac:dyDescent="0.25">
      <c r="A7" t="s">
        <v>364</v>
      </c>
      <c r="B7" t="s">
        <v>365</v>
      </c>
      <c r="C7" t="s">
        <v>1062</v>
      </c>
      <c r="D7" s="1">
        <v>45983</v>
      </c>
      <c r="E7">
        <v>11</v>
      </c>
      <c r="F7">
        <v>22</v>
      </c>
      <c r="G7">
        <v>2025</v>
      </c>
      <c r="H7">
        <v>326</v>
      </c>
      <c r="I7">
        <v>-77.452742490000006</v>
      </c>
      <c r="J7" s="4" t="s">
        <v>911</v>
      </c>
      <c r="K7" s="14">
        <v>2782</v>
      </c>
      <c r="M7" t="s">
        <v>1062</v>
      </c>
      <c r="N7" t="s">
        <v>1064</v>
      </c>
    </row>
    <row r="8" spans="1:34" x14ac:dyDescent="0.25">
      <c r="A8" t="s">
        <v>538</v>
      </c>
      <c r="B8" t="s">
        <v>539</v>
      </c>
      <c r="C8" t="s">
        <v>1062</v>
      </c>
      <c r="D8" s="1">
        <v>45974</v>
      </c>
      <c r="E8">
        <v>11</v>
      </c>
      <c r="F8">
        <v>13</v>
      </c>
      <c r="G8">
        <v>2025</v>
      </c>
      <c r="H8">
        <v>317</v>
      </c>
      <c r="I8">
        <v>-71.983065999999994</v>
      </c>
      <c r="J8">
        <v>170.60781700000001</v>
      </c>
      <c r="K8" s="14">
        <v>7736</v>
      </c>
      <c r="M8" t="s">
        <v>1062</v>
      </c>
      <c r="N8" t="s">
        <v>1063</v>
      </c>
    </row>
    <row r="9" spans="1:34" x14ac:dyDescent="0.25">
      <c r="A9" t="s">
        <v>538</v>
      </c>
      <c r="B9" t="s">
        <v>539</v>
      </c>
      <c r="C9" t="s">
        <v>1062</v>
      </c>
      <c r="D9" s="1">
        <v>45617</v>
      </c>
      <c r="E9" s="16">
        <v>11</v>
      </c>
      <c r="F9" s="16">
        <v>21</v>
      </c>
      <c r="G9">
        <v>2024</v>
      </c>
      <c r="H9">
        <v>325</v>
      </c>
      <c r="I9">
        <v>-71.983065999999994</v>
      </c>
      <c r="J9">
        <v>170.60781700000001</v>
      </c>
      <c r="K9" s="14">
        <v>7397</v>
      </c>
      <c r="M9" t="s">
        <v>1062</v>
      </c>
      <c r="N9" t="s">
        <v>1063</v>
      </c>
    </row>
    <row r="10" spans="1:34" x14ac:dyDescent="0.25">
      <c r="A10" t="s">
        <v>623</v>
      </c>
      <c r="B10" t="s">
        <v>624</v>
      </c>
      <c r="C10" t="s">
        <v>1062</v>
      </c>
      <c r="D10" s="1">
        <v>45611</v>
      </c>
      <c r="E10">
        <v>11</v>
      </c>
      <c r="F10">
        <v>15</v>
      </c>
      <c r="G10">
        <v>2024</v>
      </c>
      <c r="H10">
        <v>319</v>
      </c>
      <c r="I10">
        <v>-74.647856700000006</v>
      </c>
      <c r="J10">
        <v>165.39687258571399</v>
      </c>
      <c r="K10" s="14">
        <v>13803</v>
      </c>
      <c r="M10" t="s">
        <v>1062</v>
      </c>
      <c r="N10" t="s">
        <v>1063</v>
      </c>
      <c r="P10" s="1"/>
      <c r="R10" s="2"/>
      <c r="AA10" s="6"/>
      <c r="AH10" s="6"/>
    </row>
    <row r="11" spans="1:34" x14ac:dyDescent="0.25">
      <c r="A11" t="s">
        <v>623</v>
      </c>
      <c r="B11" t="s">
        <v>624</v>
      </c>
      <c r="C11" t="s">
        <v>1062</v>
      </c>
      <c r="D11" s="1">
        <v>45970</v>
      </c>
      <c r="E11">
        <v>11</v>
      </c>
      <c r="F11">
        <v>9</v>
      </c>
      <c r="G11">
        <v>2025</v>
      </c>
      <c r="H11">
        <v>313</v>
      </c>
      <c r="I11">
        <v>-74.647856700000006</v>
      </c>
      <c r="J11">
        <v>165.39687258571399</v>
      </c>
      <c r="K11" s="14">
        <v>14297</v>
      </c>
      <c r="M11" t="s">
        <v>1062</v>
      </c>
      <c r="N11" t="s">
        <v>1063</v>
      </c>
      <c r="P11" s="1"/>
      <c r="R11" s="2"/>
      <c r="AA11" s="6"/>
      <c r="AH11" s="6"/>
    </row>
    <row r="12" spans="1:34" x14ac:dyDescent="0.25">
      <c r="A12" t="s">
        <v>0</v>
      </c>
      <c r="B12" t="s">
        <v>1</v>
      </c>
      <c r="C12" t="s">
        <v>1074</v>
      </c>
      <c r="D12" s="1">
        <v>45771</v>
      </c>
      <c r="E12">
        <v>4</v>
      </c>
      <c r="F12">
        <v>24</v>
      </c>
      <c r="G12">
        <v>2025</v>
      </c>
      <c r="H12">
        <v>114</v>
      </c>
      <c r="I12">
        <v>-76.932184000000007</v>
      </c>
      <c r="J12">
        <v>166.94161800000001</v>
      </c>
      <c r="K12" s="6"/>
      <c r="M12" t="s">
        <v>890</v>
      </c>
      <c r="N12" t="s">
        <v>1079</v>
      </c>
    </row>
    <row r="13" spans="1:34" x14ac:dyDescent="0.25">
      <c r="A13" t="s">
        <v>0</v>
      </c>
      <c r="B13" t="s">
        <v>1</v>
      </c>
      <c r="C13" t="s">
        <v>1074</v>
      </c>
      <c r="D13" s="1">
        <v>45799</v>
      </c>
      <c r="E13">
        <v>5</v>
      </c>
      <c r="F13">
        <v>22</v>
      </c>
      <c r="G13">
        <v>2025</v>
      </c>
      <c r="H13">
        <v>142</v>
      </c>
      <c r="I13">
        <v>-76.932184000000007</v>
      </c>
      <c r="J13">
        <v>166.94161800000001</v>
      </c>
      <c r="K13" s="6"/>
      <c r="M13" t="s">
        <v>890</v>
      </c>
      <c r="N13" t="s">
        <v>1079</v>
      </c>
    </row>
    <row r="14" spans="1:34" x14ac:dyDescent="0.25">
      <c r="A14" t="s">
        <v>0</v>
      </c>
      <c r="B14" t="s">
        <v>1</v>
      </c>
      <c r="C14" t="s">
        <v>1074</v>
      </c>
      <c r="D14" s="1">
        <v>45822</v>
      </c>
      <c r="E14">
        <v>6</v>
      </c>
      <c r="F14">
        <v>14</v>
      </c>
      <c r="G14">
        <v>2025</v>
      </c>
      <c r="H14">
        <v>165</v>
      </c>
      <c r="I14">
        <v>-76.932184000000007</v>
      </c>
      <c r="J14">
        <v>166.94161800000001</v>
      </c>
      <c r="K14" s="5" t="s">
        <v>32</v>
      </c>
      <c r="L14">
        <v>62.291690135050104</v>
      </c>
      <c r="M14" t="s">
        <v>890</v>
      </c>
    </row>
    <row r="15" spans="1:34" x14ac:dyDescent="0.25">
      <c r="A15" t="s">
        <v>0</v>
      </c>
      <c r="B15" t="s">
        <v>1</v>
      </c>
      <c r="C15" t="s">
        <v>1074</v>
      </c>
      <c r="D15" s="1">
        <v>45838</v>
      </c>
      <c r="E15">
        <v>6</v>
      </c>
      <c r="F15">
        <v>30</v>
      </c>
      <c r="G15">
        <v>2025</v>
      </c>
      <c r="H15">
        <v>181</v>
      </c>
      <c r="I15">
        <v>-76.932184000000007</v>
      </c>
      <c r="J15">
        <v>166.94161800000001</v>
      </c>
      <c r="K15" s="6"/>
      <c r="M15" t="s">
        <v>890</v>
      </c>
      <c r="N15" t="s">
        <v>1079</v>
      </c>
    </row>
    <row r="16" spans="1:34" x14ac:dyDescent="0.25">
      <c r="A16" t="s">
        <v>0</v>
      </c>
      <c r="B16" t="s">
        <v>1</v>
      </c>
      <c r="C16" t="s">
        <v>1074</v>
      </c>
      <c r="D16" s="1">
        <v>45847</v>
      </c>
      <c r="E16">
        <v>7</v>
      </c>
      <c r="F16">
        <v>9</v>
      </c>
      <c r="G16">
        <v>2025</v>
      </c>
      <c r="H16">
        <v>190</v>
      </c>
      <c r="I16">
        <v>-76.932184000000007</v>
      </c>
      <c r="J16">
        <v>166.94161800000001</v>
      </c>
      <c r="K16" s="5" t="s">
        <v>55</v>
      </c>
      <c r="L16">
        <v>67.219795300505297</v>
      </c>
      <c r="M16" t="s">
        <v>890</v>
      </c>
    </row>
    <row r="17" spans="1:14" x14ac:dyDescent="0.25">
      <c r="A17" t="s">
        <v>0</v>
      </c>
      <c r="B17" t="s">
        <v>1</v>
      </c>
      <c r="C17" t="s">
        <v>1074</v>
      </c>
      <c r="D17" s="1">
        <v>45890</v>
      </c>
      <c r="E17">
        <v>8</v>
      </c>
      <c r="F17">
        <v>21</v>
      </c>
      <c r="G17">
        <v>2025</v>
      </c>
      <c r="H17">
        <v>233</v>
      </c>
      <c r="I17">
        <v>-76.932184000000007</v>
      </c>
      <c r="J17">
        <v>166.94161800000001</v>
      </c>
      <c r="K17" s="6"/>
      <c r="M17" t="s">
        <v>890</v>
      </c>
      <c r="N17" t="s">
        <v>1079</v>
      </c>
    </row>
    <row r="18" spans="1:14" x14ac:dyDescent="0.25">
      <c r="A18" t="s">
        <v>111</v>
      </c>
      <c r="B18" t="s">
        <v>112</v>
      </c>
      <c r="C18" t="s">
        <v>1074</v>
      </c>
      <c r="D18" s="1">
        <v>45770</v>
      </c>
      <c r="E18">
        <v>4</v>
      </c>
      <c r="F18">
        <v>23</v>
      </c>
      <c r="G18">
        <v>2025</v>
      </c>
      <c r="H18">
        <v>113</v>
      </c>
      <c r="I18">
        <v>-77.151399999999995</v>
      </c>
      <c r="J18">
        <v>-157.58410000000001</v>
      </c>
      <c r="K18" s="6">
        <v>40270.799863264299</v>
      </c>
      <c r="L18" s="6">
        <v>4174.5088831519297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1074</v>
      </c>
      <c r="D19" s="1">
        <v>45790</v>
      </c>
      <c r="E19">
        <v>5</v>
      </c>
      <c r="F19">
        <v>13</v>
      </c>
      <c r="G19">
        <v>2025</v>
      </c>
      <c r="H19">
        <v>133</v>
      </c>
      <c r="I19">
        <v>-77.151399999999995</v>
      </c>
      <c r="J19">
        <v>-157.58410000000001</v>
      </c>
      <c r="K19" s="6">
        <v>34153.465812051698</v>
      </c>
      <c r="L19" s="6">
        <v>3378.5193882124499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1074</v>
      </c>
      <c r="D20" s="1">
        <v>45799</v>
      </c>
      <c r="E20">
        <v>5</v>
      </c>
      <c r="F20">
        <v>22</v>
      </c>
      <c r="G20">
        <v>2025</v>
      </c>
      <c r="H20">
        <v>142</v>
      </c>
      <c r="I20">
        <v>-77.151399999999995</v>
      </c>
      <c r="J20">
        <v>-157.58410000000001</v>
      </c>
      <c r="K20" s="6"/>
      <c r="L20" s="6"/>
      <c r="M20" t="s">
        <v>890</v>
      </c>
      <c r="N20" t="s">
        <v>1081</v>
      </c>
    </row>
    <row r="21" spans="1:14" x14ac:dyDescent="0.25">
      <c r="A21" t="s">
        <v>111</v>
      </c>
      <c r="B21" t="s">
        <v>112</v>
      </c>
      <c r="C21" t="s">
        <v>1074</v>
      </c>
      <c r="D21" s="1">
        <v>45813</v>
      </c>
      <c r="E21">
        <v>6</v>
      </c>
      <c r="F21">
        <v>5</v>
      </c>
      <c r="G21">
        <v>2025</v>
      </c>
      <c r="H21">
        <v>156</v>
      </c>
      <c r="I21">
        <v>-77.151399999999995</v>
      </c>
      <c r="J21">
        <v>-157.58410000000001</v>
      </c>
      <c r="K21" s="6">
        <v>31649.707314757899</v>
      </c>
      <c r="L21" s="6">
        <v>3612.6934604808398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1074</v>
      </c>
      <c r="D22" s="1">
        <v>45821</v>
      </c>
      <c r="E22">
        <v>6</v>
      </c>
      <c r="F22">
        <v>13</v>
      </c>
      <c r="G22">
        <v>2025</v>
      </c>
      <c r="H22">
        <v>164</v>
      </c>
      <c r="I22">
        <v>-77.151399999999995</v>
      </c>
      <c r="J22">
        <v>-157.58410000000001</v>
      </c>
      <c r="K22" s="6">
        <v>23428.610690090401</v>
      </c>
      <c r="L22" s="6">
        <v>2104.8003615698599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1074</v>
      </c>
      <c r="D23" s="1">
        <v>45838</v>
      </c>
      <c r="E23">
        <v>6</v>
      </c>
      <c r="F23">
        <v>30</v>
      </c>
      <c r="G23">
        <v>2025</v>
      </c>
      <c r="H23">
        <v>181</v>
      </c>
      <c r="I23">
        <v>-77.151399999999995</v>
      </c>
      <c r="J23">
        <v>-157.58410000000001</v>
      </c>
      <c r="K23" s="6">
        <v>25236.6276040497</v>
      </c>
      <c r="L23" s="6">
        <v>2604.45094660836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1074</v>
      </c>
      <c r="D24" s="1">
        <v>45846</v>
      </c>
      <c r="E24">
        <v>7</v>
      </c>
      <c r="F24">
        <v>8</v>
      </c>
      <c r="G24">
        <v>2025</v>
      </c>
      <c r="H24">
        <v>189</v>
      </c>
      <c r="I24">
        <v>-77.151399999999995</v>
      </c>
      <c r="J24">
        <v>-157.58410000000001</v>
      </c>
      <c r="K24" s="6">
        <v>25691.932526649402</v>
      </c>
      <c r="L24" s="6">
        <v>2558.0218304167302</v>
      </c>
      <c r="M24" t="s">
        <v>890</v>
      </c>
    </row>
    <row r="25" spans="1:14" x14ac:dyDescent="0.25">
      <c r="A25" t="s">
        <v>111</v>
      </c>
      <c r="B25" t="s">
        <v>112</v>
      </c>
      <c r="C25" t="s">
        <v>1074</v>
      </c>
      <c r="D25" s="1">
        <v>45863</v>
      </c>
      <c r="E25">
        <v>7</v>
      </c>
      <c r="F25">
        <v>25</v>
      </c>
      <c r="G25">
        <v>2025</v>
      </c>
      <c r="H25">
        <v>206</v>
      </c>
      <c r="I25">
        <v>-77.151399999999995</v>
      </c>
      <c r="J25">
        <v>-157.58410000000001</v>
      </c>
      <c r="K25" s="6">
        <v>21205.3218319566</v>
      </c>
      <c r="L25" s="6">
        <v>2555.4721801321498</v>
      </c>
      <c r="M25" t="s">
        <v>890</v>
      </c>
    </row>
    <row r="26" spans="1:14" x14ac:dyDescent="0.25">
      <c r="A26" t="s">
        <v>111</v>
      </c>
      <c r="B26" t="s">
        <v>112</v>
      </c>
      <c r="C26" t="s">
        <v>1074</v>
      </c>
      <c r="D26" s="1">
        <v>45875</v>
      </c>
      <c r="E26">
        <v>8</v>
      </c>
      <c r="F26">
        <v>6</v>
      </c>
      <c r="G26">
        <v>2025</v>
      </c>
      <c r="H26">
        <v>218</v>
      </c>
      <c r="I26">
        <v>-77.151399999999995</v>
      </c>
      <c r="J26">
        <v>-157.58410000000001</v>
      </c>
      <c r="K26" s="6">
        <v>18213.280790627501</v>
      </c>
      <c r="L26" s="6">
        <v>1973.2554506472</v>
      </c>
      <c r="M26" t="s">
        <v>890</v>
      </c>
    </row>
    <row r="27" spans="1:14" x14ac:dyDescent="0.25">
      <c r="A27" t="s">
        <v>111</v>
      </c>
      <c r="B27" t="s">
        <v>112</v>
      </c>
      <c r="C27" t="s">
        <v>1074</v>
      </c>
      <c r="D27" s="1">
        <v>45889</v>
      </c>
      <c r="E27">
        <v>8</v>
      </c>
      <c r="F27">
        <v>20</v>
      </c>
      <c r="G27">
        <v>2025</v>
      </c>
      <c r="H27">
        <v>232</v>
      </c>
      <c r="I27">
        <v>-77.151399999999995</v>
      </c>
      <c r="J27">
        <v>-157.58410000000001</v>
      </c>
      <c r="K27" s="6">
        <v>16744.863928868501</v>
      </c>
      <c r="L27" s="6">
        <v>1735.87303935058</v>
      </c>
      <c r="M27" t="s">
        <v>890</v>
      </c>
    </row>
    <row r="28" spans="1:14" x14ac:dyDescent="0.25">
      <c r="A28" t="s">
        <v>111</v>
      </c>
      <c r="B28" t="s">
        <v>112</v>
      </c>
      <c r="C28" t="s">
        <v>1074</v>
      </c>
      <c r="D28" s="1">
        <v>45898</v>
      </c>
      <c r="E28">
        <v>8</v>
      </c>
      <c r="F28">
        <v>29</v>
      </c>
      <c r="G28">
        <v>2025</v>
      </c>
      <c r="H28">
        <v>241</v>
      </c>
      <c r="I28">
        <v>-77.151399999999995</v>
      </c>
      <c r="J28">
        <v>-157.58410000000001</v>
      </c>
      <c r="K28" s="6"/>
      <c r="L28" s="4"/>
      <c r="M28" t="s">
        <v>890</v>
      </c>
      <c r="N28" t="s">
        <v>1081</v>
      </c>
    </row>
    <row r="29" spans="1:14" x14ac:dyDescent="0.25">
      <c r="A29" t="s">
        <v>240</v>
      </c>
      <c r="B29" t="s">
        <v>241</v>
      </c>
      <c r="C29" t="s">
        <v>1074</v>
      </c>
      <c r="D29" s="1">
        <v>45772</v>
      </c>
      <c r="E29">
        <v>4</v>
      </c>
      <c r="F29">
        <v>25</v>
      </c>
      <c r="G29">
        <v>2025</v>
      </c>
      <c r="H29">
        <v>115</v>
      </c>
      <c r="I29">
        <v>-73.354399999999998</v>
      </c>
      <c r="J29">
        <v>169.6198</v>
      </c>
      <c r="K29" s="6">
        <v>6408.6220008091004</v>
      </c>
      <c r="L29" s="6">
        <v>682.44453295591802</v>
      </c>
      <c r="M29" t="s">
        <v>890</v>
      </c>
    </row>
    <row r="30" spans="1:14" x14ac:dyDescent="0.25">
      <c r="A30" t="s">
        <v>240</v>
      </c>
      <c r="B30" t="s">
        <v>241</v>
      </c>
      <c r="C30" t="s">
        <v>1074</v>
      </c>
      <c r="D30" s="1">
        <v>45790</v>
      </c>
      <c r="E30">
        <v>5</v>
      </c>
      <c r="F30">
        <v>13</v>
      </c>
      <c r="G30">
        <v>2025</v>
      </c>
      <c r="H30">
        <v>133</v>
      </c>
      <c r="I30">
        <v>-73.354399999999998</v>
      </c>
      <c r="J30">
        <v>169.6198</v>
      </c>
      <c r="K30" s="6">
        <v>23283.574160324799</v>
      </c>
      <c r="L30" s="6">
        <v>2648.5522933645502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1074</v>
      </c>
      <c r="D31" s="1">
        <v>45800</v>
      </c>
      <c r="E31">
        <v>5</v>
      </c>
      <c r="F31">
        <v>23</v>
      </c>
      <c r="G31">
        <v>2025</v>
      </c>
      <c r="H31">
        <v>143</v>
      </c>
      <c r="I31">
        <v>-73.354399999999998</v>
      </c>
      <c r="J31">
        <v>169.6198</v>
      </c>
      <c r="K31" s="6">
        <v>29584.915772534699</v>
      </c>
      <c r="L31" s="6">
        <v>2923.5186386999399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1074</v>
      </c>
      <c r="D32" s="1">
        <v>45810</v>
      </c>
      <c r="E32">
        <v>6</v>
      </c>
      <c r="F32">
        <v>2</v>
      </c>
      <c r="G32">
        <v>2025</v>
      </c>
      <c r="H32">
        <v>153</v>
      </c>
      <c r="I32">
        <v>-73.354399999999998</v>
      </c>
      <c r="J32">
        <v>169.6198</v>
      </c>
      <c r="K32" s="6">
        <v>27108.563328251101</v>
      </c>
      <c r="L32" s="6">
        <v>3033.6880260632402</v>
      </c>
      <c r="M32" t="s">
        <v>890</v>
      </c>
    </row>
    <row r="33" spans="1:31" x14ac:dyDescent="0.25">
      <c r="A33" t="s">
        <v>240</v>
      </c>
      <c r="B33" t="s">
        <v>241</v>
      </c>
      <c r="C33" t="s">
        <v>1074</v>
      </c>
      <c r="D33" s="1">
        <v>45821</v>
      </c>
      <c r="E33">
        <v>6</v>
      </c>
      <c r="F33">
        <v>13</v>
      </c>
      <c r="G33">
        <v>2025</v>
      </c>
      <c r="H33">
        <v>164</v>
      </c>
      <c r="I33">
        <v>-73.354399999999998</v>
      </c>
      <c r="J33">
        <v>169.6198</v>
      </c>
      <c r="K33" s="6">
        <v>27517.382163519102</v>
      </c>
      <c r="L33" s="6">
        <v>2363.38587426198</v>
      </c>
      <c r="M33" t="s">
        <v>890</v>
      </c>
    </row>
    <row r="34" spans="1:31" x14ac:dyDescent="0.25">
      <c r="A34" t="s">
        <v>240</v>
      </c>
      <c r="B34" t="s">
        <v>241</v>
      </c>
      <c r="C34" t="s">
        <v>1074</v>
      </c>
      <c r="D34" s="1">
        <v>45838</v>
      </c>
      <c r="E34">
        <v>6</v>
      </c>
      <c r="F34">
        <v>30</v>
      </c>
      <c r="G34">
        <v>2025</v>
      </c>
      <c r="H34">
        <v>181</v>
      </c>
      <c r="I34">
        <v>-73.354399999999998</v>
      </c>
      <c r="J34">
        <v>169.6198</v>
      </c>
      <c r="K34" s="6">
        <v>20631.431619227398</v>
      </c>
      <c r="L34" s="6">
        <v>2399.4883978729199</v>
      </c>
      <c r="M34" t="s">
        <v>890</v>
      </c>
    </row>
    <row r="35" spans="1:31" x14ac:dyDescent="0.25">
      <c r="A35" t="s">
        <v>240</v>
      </c>
      <c r="B35" t="s">
        <v>241</v>
      </c>
      <c r="C35" t="s">
        <v>1074</v>
      </c>
      <c r="D35" s="1">
        <v>45849</v>
      </c>
      <c r="E35">
        <v>7</v>
      </c>
      <c r="F35">
        <v>11</v>
      </c>
      <c r="G35">
        <v>2025</v>
      </c>
      <c r="H35">
        <v>192</v>
      </c>
      <c r="I35">
        <v>-73.354399999999998</v>
      </c>
      <c r="J35">
        <v>169.6198</v>
      </c>
      <c r="K35" s="6">
        <v>16330.0238002317</v>
      </c>
      <c r="L35" s="6">
        <v>1900.1997755976399</v>
      </c>
      <c r="M35" t="s">
        <v>890</v>
      </c>
    </row>
    <row r="36" spans="1:31" x14ac:dyDescent="0.25">
      <c r="A36" t="s">
        <v>240</v>
      </c>
      <c r="B36" t="s">
        <v>241</v>
      </c>
      <c r="C36" t="s">
        <v>1074</v>
      </c>
      <c r="D36" s="1">
        <v>45862</v>
      </c>
      <c r="E36">
        <v>7</v>
      </c>
      <c r="F36">
        <v>24</v>
      </c>
      <c r="G36">
        <v>2025</v>
      </c>
      <c r="H36">
        <v>205</v>
      </c>
      <c r="I36">
        <v>-73.354399999999998</v>
      </c>
      <c r="J36">
        <v>169.6198</v>
      </c>
      <c r="K36" s="6">
        <v>14606.8083973498</v>
      </c>
      <c r="L36" s="6">
        <v>1736.78861738255</v>
      </c>
      <c r="M36" t="s">
        <v>890</v>
      </c>
    </row>
    <row r="37" spans="1:31" x14ac:dyDescent="0.25">
      <c r="A37" t="s">
        <v>240</v>
      </c>
      <c r="B37" t="s">
        <v>241</v>
      </c>
      <c r="C37" t="s">
        <v>1074</v>
      </c>
      <c r="D37" s="1">
        <v>45875</v>
      </c>
      <c r="E37">
        <v>8</v>
      </c>
      <c r="F37">
        <v>6</v>
      </c>
      <c r="G37">
        <v>2025</v>
      </c>
      <c r="H37">
        <v>218</v>
      </c>
      <c r="I37">
        <v>-73.354399999999998</v>
      </c>
      <c r="J37">
        <v>169.6198</v>
      </c>
      <c r="K37" s="6">
        <v>12784.202286092999</v>
      </c>
      <c r="L37" s="6">
        <v>1489.8274115772399</v>
      </c>
      <c r="M37" t="s">
        <v>890</v>
      </c>
    </row>
    <row r="38" spans="1:31" x14ac:dyDescent="0.25">
      <c r="A38" t="s">
        <v>240</v>
      </c>
      <c r="B38" t="s">
        <v>241</v>
      </c>
      <c r="C38" t="s">
        <v>1074</v>
      </c>
      <c r="D38" s="1">
        <v>45890</v>
      </c>
      <c r="E38">
        <v>8</v>
      </c>
      <c r="F38">
        <v>21</v>
      </c>
      <c r="G38">
        <v>2025</v>
      </c>
      <c r="H38">
        <v>233</v>
      </c>
      <c r="I38">
        <v>-73.354399999999998</v>
      </c>
      <c r="J38">
        <v>169.6198</v>
      </c>
      <c r="K38" s="6">
        <v>11262.3762052007</v>
      </c>
      <c r="L38" s="6">
        <v>1224.78184575759</v>
      </c>
      <c r="M38" t="s">
        <v>890</v>
      </c>
    </row>
    <row r="39" spans="1:31" x14ac:dyDescent="0.25">
      <c r="A39" t="s">
        <v>240</v>
      </c>
      <c r="B39" t="s">
        <v>241</v>
      </c>
      <c r="C39" t="s">
        <v>1074</v>
      </c>
      <c r="D39" s="1">
        <v>45405</v>
      </c>
      <c r="E39">
        <v>4</v>
      </c>
      <c r="F39">
        <v>23</v>
      </c>
      <c r="G39">
        <v>2024</v>
      </c>
      <c r="H39">
        <v>114</v>
      </c>
      <c r="I39">
        <v>-73.350042110000004</v>
      </c>
      <c r="J39" s="4" t="s">
        <v>992</v>
      </c>
      <c r="K39" s="6">
        <v>13994.624803553001</v>
      </c>
      <c r="L39" s="6">
        <v>1566.0679689856699</v>
      </c>
      <c r="M39" t="s">
        <v>890</v>
      </c>
    </row>
    <row r="40" spans="1:31" x14ac:dyDescent="0.25">
      <c r="A40" t="s">
        <v>240</v>
      </c>
      <c r="B40" t="s">
        <v>241</v>
      </c>
      <c r="C40" t="s">
        <v>1074</v>
      </c>
      <c r="D40" s="1">
        <v>45411</v>
      </c>
      <c r="E40">
        <v>4</v>
      </c>
      <c r="F40">
        <v>29</v>
      </c>
      <c r="G40">
        <v>2024</v>
      </c>
      <c r="H40">
        <v>120</v>
      </c>
      <c r="I40">
        <v>-73.349376169999999</v>
      </c>
      <c r="J40" s="4" t="s">
        <v>995</v>
      </c>
      <c r="K40" s="6">
        <v>24937.095885270199</v>
      </c>
      <c r="L40" s="6">
        <v>2768.66019071345</v>
      </c>
      <c r="M40" t="s">
        <v>890</v>
      </c>
      <c r="P40" s="1"/>
      <c r="R40" s="2"/>
      <c r="S40" s="4"/>
      <c r="T40" s="4"/>
      <c r="U40" s="4"/>
      <c r="V40" s="4"/>
      <c r="W40" s="4"/>
      <c r="X40" s="4"/>
      <c r="Z40" s="4"/>
      <c r="AB40" s="4"/>
      <c r="AC40" s="4"/>
      <c r="AD40" s="4"/>
      <c r="AE40" s="4"/>
    </row>
    <row r="41" spans="1:31" x14ac:dyDescent="0.25">
      <c r="A41" t="s">
        <v>240</v>
      </c>
      <c r="B41" t="s">
        <v>241</v>
      </c>
      <c r="C41" t="s">
        <v>1074</v>
      </c>
      <c r="D41" s="1">
        <v>45414</v>
      </c>
      <c r="E41">
        <v>5</v>
      </c>
      <c r="F41">
        <v>2</v>
      </c>
      <c r="G41">
        <v>2024</v>
      </c>
      <c r="H41">
        <v>123</v>
      </c>
      <c r="I41">
        <v>-73.350269580000003</v>
      </c>
      <c r="J41" s="4" t="s">
        <v>998</v>
      </c>
      <c r="K41" s="6">
        <v>23317.662830459602</v>
      </c>
      <c r="L41" s="6">
        <v>2501.2707006705</v>
      </c>
      <c r="M41" t="s">
        <v>890</v>
      </c>
      <c r="P41" s="1"/>
      <c r="R41" s="2"/>
      <c r="S41" s="4"/>
      <c r="T41" s="4"/>
      <c r="U41" s="4"/>
      <c r="V41" s="4"/>
      <c r="X41" s="4"/>
      <c r="Z41" s="4"/>
      <c r="AB41" s="4"/>
      <c r="AC41" s="4"/>
      <c r="AD41" s="4"/>
      <c r="AE41" s="4"/>
    </row>
    <row r="42" spans="1:31" x14ac:dyDescent="0.25">
      <c r="A42" t="s">
        <v>240</v>
      </c>
      <c r="B42" t="s">
        <v>241</v>
      </c>
      <c r="C42" t="s">
        <v>1074</v>
      </c>
      <c r="D42" s="1">
        <v>45436</v>
      </c>
      <c r="E42">
        <v>5</v>
      </c>
      <c r="F42">
        <v>24</v>
      </c>
      <c r="G42">
        <v>2024</v>
      </c>
      <c r="H42">
        <v>145</v>
      </c>
      <c r="I42">
        <v>-73.349310669999994</v>
      </c>
      <c r="J42" s="4" t="s">
        <v>1001</v>
      </c>
      <c r="K42" s="6">
        <v>29189.220282225298</v>
      </c>
      <c r="L42" s="6">
        <v>3124.9102814468001</v>
      </c>
      <c r="M42" t="s">
        <v>890</v>
      </c>
      <c r="P42" s="1"/>
      <c r="R42" s="2"/>
      <c r="T42" s="4"/>
      <c r="U42" s="4"/>
      <c r="V42" s="4"/>
      <c r="W42" s="4"/>
      <c r="X42" s="4"/>
      <c r="AB42" s="4"/>
      <c r="AC42" s="4"/>
      <c r="AD42" s="4"/>
      <c r="AE42" s="4"/>
    </row>
    <row r="43" spans="1:31" x14ac:dyDescent="0.25">
      <c r="A43" t="s">
        <v>240</v>
      </c>
      <c r="B43" t="s">
        <v>241</v>
      </c>
      <c r="C43" t="s">
        <v>1074</v>
      </c>
      <c r="D43" s="1">
        <v>45444</v>
      </c>
      <c r="E43">
        <v>6</v>
      </c>
      <c r="F43">
        <v>1</v>
      </c>
      <c r="G43">
        <v>2024</v>
      </c>
      <c r="H43">
        <v>153</v>
      </c>
      <c r="I43">
        <v>-73.348907789999998</v>
      </c>
      <c r="J43" s="4" t="s">
        <v>1004</v>
      </c>
      <c r="K43" s="6">
        <v>24409.878398593999</v>
      </c>
      <c r="L43" s="6">
        <v>2607.9617585429</v>
      </c>
      <c r="M43" t="s">
        <v>890</v>
      </c>
      <c r="P43" s="1"/>
      <c r="R43" s="2"/>
      <c r="S43" s="4"/>
      <c r="T43" s="4"/>
      <c r="U43" s="4"/>
      <c r="Z43" s="4"/>
      <c r="AB43" s="4"/>
      <c r="AC43" s="4"/>
      <c r="AD43" s="4"/>
      <c r="AE43" s="4"/>
    </row>
    <row r="44" spans="1:31" x14ac:dyDescent="0.25">
      <c r="A44" t="s">
        <v>240</v>
      </c>
      <c r="B44" t="s">
        <v>241</v>
      </c>
      <c r="C44" t="s">
        <v>1074</v>
      </c>
      <c r="D44" s="1">
        <v>45450</v>
      </c>
      <c r="E44">
        <v>6</v>
      </c>
      <c r="F44">
        <v>7</v>
      </c>
      <c r="G44">
        <v>2024</v>
      </c>
      <c r="H44">
        <v>159</v>
      </c>
      <c r="I44">
        <v>-73.348990200000003</v>
      </c>
      <c r="J44">
        <v>169.63881739999999</v>
      </c>
      <c r="K44" s="6">
        <v>22155.770605542599</v>
      </c>
      <c r="L44" s="6">
        <v>2314.1376231466202</v>
      </c>
      <c r="M44" t="s">
        <v>890</v>
      </c>
      <c r="P44" s="1"/>
      <c r="R44" s="2"/>
      <c r="S44" s="4"/>
      <c r="T44" s="4"/>
      <c r="U44" s="4"/>
      <c r="V44" s="4"/>
      <c r="W44" s="4"/>
      <c r="X44" s="4"/>
      <c r="Z44" s="4"/>
      <c r="AB44" s="4"/>
      <c r="AC44" s="4"/>
      <c r="AD44" s="4"/>
      <c r="AE44" s="4"/>
    </row>
    <row r="45" spans="1:31" x14ac:dyDescent="0.25">
      <c r="A45" t="s">
        <v>240</v>
      </c>
      <c r="B45" t="s">
        <v>241</v>
      </c>
      <c r="C45" t="s">
        <v>1074</v>
      </c>
      <c r="D45" s="1">
        <v>45462</v>
      </c>
      <c r="E45">
        <v>6</v>
      </c>
      <c r="F45">
        <v>19</v>
      </c>
      <c r="G45">
        <v>2024</v>
      </c>
      <c r="H45">
        <v>171</v>
      </c>
      <c r="I45">
        <v>-73.347016319999994</v>
      </c>
      <c r="J45" s="4" t="s">
        <v>1009</v>
      </c>
      <c r="K45" s="6">
        <v>23841.7216372496</v>
      </c>
      <c r="L45" s="6">
        <v>2781.7457720307202</v>
      </c>
      <c r="M45" t="s">
        <v>890</v>
      </c>
      <c r="P45" s="1"/>
      <c r="R45" s="2"/>
      <c r="S45" s="4"/>
      <c r="T45" s="4"/>
      <c r="U45" s="4"/>
      <c r="V45" s="4"/>
      <c r="W45" s="4"/>
      <c r="X45" s="4"/>
      <c r="Z45" s="4"/>
      <c r="AB45" s="4"/>
      <c r="AC45" s="4"/>
      <c r="AD45" s="4"/>
      <c r="AE45" s="4"/>
    </row>
    <row r="46" spans="1:31" x14ac:dyDescent="0.25">
      <c r="A46" t="s">
        <v>240</v>
      </c>
      <c r="B46" t="s">
        <v>241</v>
      </c>
      <c r="C46" t="s">
        <v>1074</v>
      </c>
      <c r="D46" s="1">
        <v>45468</v>
      </c>
      <c r="E46">
        <v>6</v>
      </c>
      <c r="F46">
        <v>25</v>
      </c>
      <c r="G46">
        <v>2024</v>
      </c>
      <c r="H46">
        <v>177</v>
      </c>
      <c r="I46">
        <v>-73.346788489999994</v>
      </c>
      <c r="J46" s="4" t="s">
        <v>1012</v>
      </c>
      <c r="K46" s="6">
        <v>20134.0985648114</v>
      </c>
      <c r="L46" s="6">
        <v>2029.20319829766</v>
      </c>
      <c r="M46" t="s">
        <v>890</v>
      </c>
      <c r="P46" s="1"/>
      <c r="R46" s="2"/>
      <c r="S46" s="4"/>
      <c r="T46" s="4"/>
      <c r="U46" s="4"/>
      <c r="V46" s="4"/>
      <c r="W46" s="4"/>
      <c r="X46" s="4"/>
      <c r="Z46" s="4"/>
      <c r="AB46" s="4"/>
      <c r="AC46" s="4"/>
      <c r="AD46" s="4"/>
      <c r="AE46" s="4"/>
    </row>
    <row r="47" spans="1:31" x14ac:dyDescent="0.25">
      <c r="A47" t="s">
        <v>240</v>
      </c>
      <c r="B47" t="s">
        <v>241</v>
      </c>
      <c r="C47" t="s">
        <v>1074</v>
      </c>
      <c r="D47" s="1">
        <v>45483</v>
      </c>
      <c r="E47">
        <v>7</v>
      </c>
      <c r="F47">
        <v>10</v>
      </c>
      <c r="G47">
        <v>2024</v>
      </c>
      <c r="H47">
        <v>192</v>
      </c>
      <c r="I47">
        <v>-73.346788489999994</v>
      </c>
      <c r="J47" s="4" t="s">
        <v>1012</v>
      </c>
      <c r="K47" s="6">
        <v>17407.693594020398</v>
      </c>
      <c r="L47" s="6">
        <v>2022.7606989763599</v>
      </c>
      <c r="M47" t="s">
        <v>890</v>
      </c>
      <c r="P47" s="1"/>
      <c r="R47" s="2"/>
      <c r="S47" s="4"/>
      <c r="T47" s="4"/>
      <c r="U47" s="4"/>
      <c r="V47" s="4"/>
      <c r="W47" s="4"/>
      <c r="X47" s="4"/>
      <c r="Z47" s="4"/>
      <c r="AB47" s="4"/>
      <c r="AC47" s="4"/>
      <c r="AD47" s="4"/>
      <c r="AE47" s="4"/>
    </row>
    <row r="48" spans="1:31" x14ac:dyDescent="0.25">
      <c r="A48" t="s">
        <v>240</v>
      </c>
      <c r="B48" t="s">
        <v>241</v>
      </c>
      <c r="C48" t="s">
        <v>1074</v>
      </c>
      <c r="D48" s="1">
        <v>45489</v>
      </c>
      <c r="E48">
        <v>7</v>
      </c>
      <c r="F48">
        <v>16</v>
      </c>
      <c r="G48">
        <v>2024</v>
      </c>
      <c r="H48">
        <v>198</v>
      </c>
      <c r="I48">
        <v>-73.348172140000003</v>
      </c>
      <c r="J48">
        <v>169.63271979999999</v>
      </c>
      <c r="K48" s="6">
        <v>15281.968649876801</v>
      </c>
      <c r="L48" s="6">
        <v>1813.3986701030101</v>
      </c>
      <c r="M48" t="s">
        <v>890</v>
      </c>
      <c r="P48" s="1"/>
      <c r="R48" s="2"/>
      <c r="S48" s="4"/>
      <c r="T48" s="4"/>
      <c r="V48" s="4"/>
      <c r="X48" s="4"/>
      <c r="Z48" s="4"/>
      <c r="AB48" s="4"/>
      <c r="AD48" s="4"/>
      <c r="AE48" s="4"/>
    </row>
    <row r="49" spans="1:47" x14ac:dyDescent="0.25">
      <c r="A49" t="s">
        <v>240</v>
      </c>
      <c r="B49" t="s">
        <v>241</v>
      </c>
      <c r="C49" t="s">
        <v>1074</v>
      </c>
      <c r="D49" s="1">
        <v>45510</v>
      </c>
      <c r="E49">
        <v>8</v>
      </c>
      <c r="F49">
        <v>6</v>
      </c>
      <c r="G49">
        <v>2024</v>
      </c>
      <c r="H49">
        <v>219</v>
      </c>
      <c r="I49">
        <v>-73.345227539999996</v>
      </c>
      <c r="J49" s="4" t="s">
        <v>1019</v>
      </c>
      <c r="K49" s="6">
        <v>12681.0171029377</v>
      </c>
      <c r="L49" s="6">
        <v>1303.9422940076299</v>
      </c>
      <c r="M49" t="s">
        <v>890</v>
      </c>
      <c r="P49" s="1"/>
      <c r="R49" s="2"/>
      <c r="T49" s="4"/>
      <c r="U49" s="4"/>
      <c r="V49" s="4"/>
      <c r="W49" s="4"/>
      <c r="X49" s="4"/>
      <c r="Z49" s="4"/>
      <c r="AB49" s="4"/>
      <c r="AC49" s="4"/>
      <c r="AD49" s="4"/>
      <c r="AE49" s="4"/>
    </row>
    <row r="50" spans="1:47" x14ac:dyDescent="0.25">
      <c r="A50" t="s">
        <v>240</v>
      </c>
      <c r="B50" t="s">
        <v>241</v>
      </c>
      <c r="C50" t="s">
        <v>1074</v>
      </c>
      <c r="D50" s="1">
        <v>45512</v>
      </c>
      <c r="E50">
        <v>8</v>
      </c>
      <c r="F50">
        <v>8</v>
      </c>
      <c r="G50">
        <v>2024</v>
      </c>
      <c r="H50">
        <v>221</v>
      </c>
      <c r="I50">
        <v>-73.345084529999994</v>
      </c>
      <c r="J50" s="4" t="s">
        <v>1022</v>
      </c>
      <c r="K50" s="6">
        <v>11948.893135644301</v>
      </c>
      <c r="L50" s="6">
        <v>1170.2489151311399</v>
      </c>
      <c r="M50" t="s">
        <v>890</v>
      </c>
      <c r="P50" s="1"/>
      <c r="R50" s="2"/>
      <c r="S50" s="4"/>
      <c r="T50" s="4"/>
      <c r="U50" s="4"/>
      <c r="V50" s="4"/>
      <c r="W50" s="4"/>
      <c r="X50" s="4"/>
      <c r="Z50" s="4"/>
      <c r="AB50" s="4"/>
      <c r="AC50" s="4"/>
      <c r="AD50" s="4"/>
      <c r="AE50" s="4"/>
    </row>
    <row r="51" spans="1:47" x14ac:dyDescent="0.25">
      <c r="A51" t="s">
        <v>364</v>
      </c>
      <c r="B51" t="s">
        <v>365</v>
      </c>
      <c r="C51" t="s">
        <v>1074</v>
      </c>
      <c r="D51" s="1">
        <v>45771</v>
      </c>
      <c r="E51">
        <v>4</v>
      </c>
      <c r="F51">
        <v>24</v>
      </c>
      <c r="G51">
        <v>2025</v>
      </c>
      <c r="H51">
        <v>114</v>
      </c>
      <c r="I51">
        <v>-77.448746</v>
      </c>
      <c r="J51">
        <v>169.277041</v>
      </c>
      <c r="K51" s="6">
        <v>2513.9625606137802</v>
      </c>
      <c r="L51" s="6">
        <v>282.065281602906</v>
      </c>
      <c r="M51" t="s">
        <v>890</v>
      </c>
      <c r="P51" s="1"/>
      <c r="R51" s="2"/>
      <c r="S51" s="4"/>
      <c r="T51" s="4"/>
      <c r="U51" s="4"/>
      <c r="W51" s="4"/>
      <c r="Z51" s="4"/>
      <c r="AB51" s="4"/>
      <c r="AC51" s="4"/>
      <c r="AD51" s="4"/>
      <c r="AE51" s="4"/>
    </row>
    <row r="52" spans="1:47" x14ac:dyDescent="0.25">
      <c r="A52" t="s">
        <v>364</v>
      </c>
      <c r="B52" t="s">
        <v>365</v>
      </c>
      <c r="C52" t="s">
        <v>1074</v>
      </c>
      <c r="D52" s="1">
        <v>45799</v>
      </c>
      <c r="E52">
        <v>5</v>
      </c>
      <c r="F52">
        <v>22</v>
      </c>
      <c r="G52">
        <v>2025</v>
      </c>
      <c r="H52">
        <v>142</v>
      </c>
      <c r="I52">
        <v>-77.448746</v>
      </c>
      <c r="J52">
        <v>169.277041</v>
      </c>
      <c r="K52" s="6">
        <v>4501.4330363501103</v>
      </c>
      <c r="L52" s="6">
        <v>439.31680142184098</v>
      </c>
      <c r="M52" t="s">
        <v>890</v>
      </c>
      <c r="Y52" s="2"/>
      <c r="Z52" s="3"/>
      <c r="AB52" s="1"/>
      <c r="AC52" s="2"/>
      <c r="AD52" s="4"/>
      <c r="AE52" s="4"/>
      <c r="AH52" s="4"/>
      <c r="AK52" s="5"/>
      <c r="AL52" s="5"/>
      <c r="AM52" s="4"/>
      <c r="AN52" s="4"/>
      <c r="AO52" s="4"/>
      <c r="AP52" s="4"/>
    </row>
    <row r="53" spans="1:47" x14ac:dyDescent="0.25">
      <c r="A53" t="s">
        <v>364</v>
      </c>
      <c r="B53" t="s">
        <v>365</v>
      </c>
      <c r="C53" t="s">
        <v>1074</v>
      </c>
      <c r="D53" s="1">
        <v>45822</v>
      </c>
      <c r="E53">
        <v>6</v>
      </c>
      <c r="F53">
        <v>14</v>
      </c>
      <c r="G53">
        <v>2025</v>
      </c>
      <c r="H53">
        <v>165</v>
      </c>
      <c r="I53">
        <v>-77.448746</v>
      </c>
      <c r="J53">
        <v>169.277041</v>
      </c>
      <c r="K53" s="6"/>
      <c r="L53" s="6"/>
      <c r="M53" t="s">
        <v>890</v>
      </c>
      <c r="N53" t="s">
        <v>1081</v>
      </c>
      <c r="Y53" s="2"/>
      <c r="Z53" s="3"/>
      <c r="AB53" s="1"/>
      <c r="AC53" s="2"/>
      <c r="AD53" s="4"/>
      <c r="AE53" s="4"/>
      <c r="AF53" s="4"/>
      <c r="AH53" s="4"/>
      <c r="AI53" s="4"/>
      <c r="AJ53" s="4"/>
      <c r="AK53" s="5"/>
      <c r="AL53" s="5"/>
      <c r="AM53" s="4"/>
      <c r="AN53" s="4"/>
      <c r="AP53" s="4"/>
    </row>
    <row r="54" spans="1:47" x14ac:dyDescent="0.25">
      <c r="A54" t="s">
        <v>364</v>
      </c>
      <c r="B54" t="s">
        <v>365</v>
      </c>
      <c r="C54" t="s">
        <v>1074</v>
      </c>
      <c r="D54" s="1">
        <v>45838</v>
      </c>
      <c r="E54">
        <v>6</v>
      </c>
      <c r="F54">
        <v>30</v>
      </c>
      <c r="G54">
        <v>2025</v>
      </c>
      <c r="H54">
        <v>181</v>
      </c>
      <c r="I54">
        <v>-77.448746</v>
      </c>
      <c r="J54">
        <v>169.277041</v>
      </c>
      <c r="K54" s="6">
        <v>2423.5414692191498</v>
      </c>
      <c r="L54" s="6">
        <v>281.07392061099</v>
      </c>
      <c r="M54" t="s">
        <v>890</v>
      </c>
      <c r="Y54" s="2"/>
      <c r="Z54" s="3"/>
      <c r="AB54" s="1"/>
      <c r="AC54" s="2"/>
      <c r="AD54" s="4"/>
      <c r="AE54" s="4"/>
      <c r="AF54" s="4"/>
      <c r="AH54" s="4"/>
      <c r="AI54" s="4"/>
      <c r="AJ54" s="4"/>
      <c r="AK54" s="5"/>
      <c r="AL54" s="5"/>
      <c r="AM54" s="4"/>
      <c r="AN54" s="4"/>
      <c r="AO54" s="4"/>
      <c r="AP54" s="4"/>
    </row>
    <row r="55" spans="1:47" x14ac:dyDescent="0.25">
      <c r="A55" s="7" t="s">
        <v>364</v>
      </c>
      <c r="B55" s="7" t="s">
        <v>365</v>
      </c>
      <c r="C55" t="s">
        <v>1074</v>
      </c>
      <c r="D55" s="8">
        <v>45856</v>
      </c>
      <c r="E55" s="7">
        <v>7</v>
      </c>
      <c r="F55" s="7">
        <v>18</v>
      </c>
      <c r="G55" s="7">
        <v>2025</v>
      </c>
      <c r="H55" s="7">
        <v>199</v>
      </c>
      <c r="I55" s="7">
        <v>-77.448746</v>
      </c>
      <c r="J55" s="7">
        <v>169.277041</v>
      </c>
      <c r="K55" s="6">
        <v>1875.9097499479001</v>
      </c>
      <c r="L55" s="6">
        <v>176.01829178077799</v>
      </c>
      <c r="M55" t="s">
        <v>890</v>
      </c>
      <c r="Y55" s="2"/>
      <c r="Z55" s="3"/>
      <c r="AB55" s="1"/>
      <c r="AC55" s="2"/>
      <c r="AD55" s="4"/>
      <c r="AE55" s="4"/>
      <c r="AF55" s="4"/>
      <c r="AH55" s="4"/>
      <c r="AI55" s="4"/>
      <c r="AJ55" s="4"/>
      <c r="AK55" s="5"/>
      <c r="AL55" s="5"/>
      <c r="AM55" s="4"/>
      <c r="AN55" s="4"/>
      <c r="AO55" s="4"/>
      <c r="AP55" s="4"/>
    </row>
    <row r="56" spans="1:47" x14ac:dyDescent="0.25">
      <c r="A56" t="s">
        <v>364</v>
      </c>
      <c r="B56" t="s">
        <v>365</v>
      </c>
      <c r="C56" t="s">
        <v>1074</v>
      </c>
      <c r="D56" s="1">
        <v>45874</v>
      </c>
      <c r="E56">
        <v>8</v>
      </c>
      <c r="F56">
        <v>5</v>
      </c>
      <c r="G56">
        <v>2025</v>
      </c>
      <c r="H56">
        <v>217</v>
      </c>
      <c r="I56">
        <v>-77.448746</v>
      </c>
      <c r="J56">
        <v>169.277041</v>
      </c>
      <c r="K56" s="6">
        <v>1672.5357866931699</v>
      </c>
      <c r="L56" s="6">
        <v>197.88802166705801</v>
      </c>
      <c r="M56" t="s">
        <v>890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9"/>
      <c r="Z56" s="10"/>
      <c r="AA56" s="7"/>
      <c r="AB56" s="8"/>
      <c r="AC56" s="9"/>
      <c r="AD56" s="11"/>
      <c r="AE56" s="11"/>
      <c r="AF56" s="11"/>
      <c r="AG56" s="7"/>
      <c r="AH56" s="11"/>
      <c r="AI56" s="11"/>
      <c r="AJ56" s="11"/>
      <c r="AK56" s="12"/>
      <c r="AL56" s="12"/>
      <c r="AM56" s="7"/>
      <c r="AN56" s="11"/>
      <c r="AO56" s="11"/>
      <c r="AP56" s="11"/>
      <c r="AQ56" s="7"/>
      <c r="AR56" s="7"/>
      <c r="AS56" s="7"/>
      <c r="AT56" s="7"/>
      <c r="AU56" s="7"/>
    </row>
    <row r="57" spans="1:47" x14ac:dyDescent="0.25">
      <c r="A57" t="s">
        <v>364</v>
      </c>
      <c r="B57" t="s">
        <v>365</v>
      </c>
      <c r="C57" t="s">
        <v>1074</v>
      </c>
      <c r="D57" s="1">
        <v>45890</v>
      </c>
      <c r="E57">
        <v>8</v>
      </c>
      <c r="F57">
        <v>21</v>
      </c>
      <c r="G57">
        <v>2025</v>
      </c>
      <c r="H57">
        <v>233</v>
      </c>
      <c r="I57">
        <v>-77.448746</v>
      </c>
      <c r="J57">
        <v>169.277041</v>
      </c>
      <c r="K57" s="6">
        <v>1543.1500985232101</v>
      </c>
      <c r="L57" s="6">
        <v>180.443053394695</v>
      </c>
      <c r="M57" t="s">
        <v>890</v>
      </c>
      <c r="Y57" s="2"/>
      <c r="Z57" s="3"/>
      <c r="AB57" s="1"/>
      <c r="AC57" s="2"/>
      <c r="AD57" s="4"/>
      <c r="AE57" s="4"/>
      <c r="AI57" s="4"/>
      <c r="AK57" s="5"/>
      <c r="AL57" s="5"/>
      <c r="AM57" s="4"/>
      <c r="AN57" s="4"/>
      <c r="AO57" s="4"/>
      <c r="AP57" s="4"/>
    </row>
    <row r="58" spans="1:47" x14ac:dyDescent="0.25">
      <c r="A58" t="s">
        <v>364</v>
      </c>
      <c r="B58" t="s">
        <v>365</v>
      </c>
      <c r="C58" t="s">
        <v>1074</v>
      </c>
      <c r="D58" s="1">
        <v>45405</v>
      </c>
      <c r="E58">
        <v>4</v>
      </c>
      <c r="F58">
        <v>23</v>
      </c>
      <c r="G58">
        <v>2024</v>
      </c>
      <c r="H58">
        <v>114</v>
      </c>
      <c r="I58">
        <v>-77.452742490000006</v>
      </c>
      <c r="J58" s="4">
        <v>169.275065933333</v>
      </c>
      <c r="K58" s="6">
        <v>4199.5531153193297</v>
      </c>
      <c r="L58" s="6">
        <v>482.48848434764898</v>
      </c>
      <c r="M58" t="s">
        <v>890</v>
      </c>
      <c r="Y58" s="2"/>
      <c r="Z58" s="3"/>
      <c r="AB58" s="1"/>
      <c r="AC58" s="2"/>
      <c r="AD58" s="4"/>
      <c r="AE58" s="4"/>
      <c r="AF58" s="4"/>
      <c r="AH58" s="4"/>
      <c r="AI58" s="4"/>
      <c r="AJ58" s="4"/>
      <c r="AK58" s="5"/>
      <c r="AL58" s="5"/>
      <c r="AM58" s="4"/>
      <c r="AN58" s="4"/>
      <c r="AO58" s="4"/>
      <c r="AP58" s="4"/>
    </row>
    <row r="59" spans="1:47" x14ac:dyDescent="0.25">
      <c r="A59" t="s">
        <v>364</v>
      </c>
      <c r="B59" t="s">
        <v>365</v>
      </c>
      <c r="C59" t="s">
        <v>1074</v>
      </c>
      <c r="D59" s="1">
        <v>45414</v>
      </c>
      <c r="E59">
        <v>5</v>
      </c>
      <c r="F59">
        <v>2</v>
      </c>
      <c r="G59">
        <v>2024</v>
      </c>
      <c r="H59">
        <v>123</v>
      </c>
      <c r="I59">
        <v>-77.452118630000001</v>
      </c>
      <c r="J59">
        <v>169.2749058</v>
      </c>
      <c r="K59" s="6">
        <v>5185.8122585082901</v>
      </c>
      <c r="L59" s="6">
        <v>604.44586722411395</v>
      </c>
      <c r="M59" t="s">
        <v>890</v>
      </c>
    </row>
    <row r="60" spans="1:47" x14ac:dyDescent="0.25">
      <c r="A60" t="s">
        <v>364</v>
      </c>
      <c r="B60" t="s">
        <v>365</v>
      </c>
      <c r="C60" t="s">
        <v>1074</v>
      </c>
      <c r="D60" s="1">
        <v>45429</v>
      </c>
      <c r="E60">
        <v>5</v>
      </c>
      <c r="F60">
        <v>17</v>
      </c>
      <c r="G60">
        <v>2024</v>
      </c>
      <c r="H60">
        <v>138</v>
      </c>
      <c r="I60">
        <v>-77.452081969999995</v>
      </c>
      <c r="J60">
        <v>169.2775054</v>
      </c>
      <c r="K60" s="6">
        <v>3810.9550936026098</v>
      </c>
      <c r="L60" s="6">
        <v>443.96939889530501</v>
      </c>
      <c r="M60" t="s">
        <v>890</v>
      </c>
      <c r="P60" s="1"/>
      <c r="R60" s="2"/>
      <c r="S60" s="4"/>
      <c r="T60" s="4"/>
      <c r="U60" s="4"/>
      <c r="V60" s="4"/>
      <c r="W60" s="4"/>
      <c r="X60" s="4"/>
      <c r="Z60" s="4"/>
      <c r="AA60" s="5"/>
      <c r="AB60" s="4"/>
      <c r="AC60" s="4"/>
      <c r="AD60" s="4"/>
      <c r="AE60" s="4"/>
    </row>
    <row r="61" spans="1:47" x14ac:dyDescent="0.25">
      <c r="A61" t="s">
        <v>364</v>
      </c>
      <c r="B61" t="s">
        <v>365</v>
      </c>
      <c r="C61" t="s">
        <v>1074</v>
      </c>
      <c r="D61" s="1">
        <v>45444</v>
      </c>
      <c r="E61">
        <v>6</v>
      </c>
      <c r="F61">
        <v>1</v>
      </c>
      <c r="G61">
        <v>2024</v>
      </c>
      <c r="H61">
        <v>153</v>
      </c>
      <c r="I61">
        <v>-77.451571819999998</v>
      </c>
      <c r="J61" s="4">
        <v>169.27866761666601</v>
      </c>
      <c r="K61" s="6">
        <v>3045.3768819075899</v>
      </c>
      <c r="L61" s="6">
        <v>346.09534932841399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A61" s="5"/>
      <c r="AB61" s="4"/>
      <c r="AC61" s="4"/>
      <c r="AD61" s="4"/>
      <c r="AE61" s="4"/>
    </row>
    <row r="62" spans="1:47" x14ac:dyDescent="0.25">
      <c r="A62" t="s">
        <v>364</v>
      </c>
      <c r="B62" t="s">
        <v>365</v>
      </c>
      <c r="C62" t="s">
        <v>1074</v>
      </c>
      <c r="D62" s="1">
        <v>45450</v>
      </c>
      <c r="E62">
        <v>6</v>
      </c>
      <c r="F62">
        <v>7</v>
      </c>
      <c r="G62">
        <v>2024</v>
      </c>
      <c r="H62">
        <v>159</v>
      </c>
      <c r="I62">
        <v>-77.452742490000006</v>
      </c>
      <c r="J62" s="4">
        <v>169.275065933333</v>
      </c>
      <c r="K62" s="6">
        <v>3294.0582213811199</v>
      </c>
      <c r="L62" s="6">
        <v>343.31443778614403</v>
      </c>
      <c r="M62" t="s">
        <v>890</v>
      </c>
      <c r="P62" s="1"/>
      <c r="R62" s="2"/>
      <c r="S62" s="4"/>
      <c r="T62" s="4"/>
      <c r="U62" s="4"/>
      <c r="V62" s="4"/>
      <c r="W62" s="4"/>
      <c r="X62" s="4"/>
      <c r="Z62" s="4"/>
      <c r="AA62" s="5"/>
      <c r="AB62" s="4"/>
      <c r="AC62" s="4"/>
      <c r="AD62" s="4"/>
      <c r="AE62" s="4"/>
    </row>
    <row r="63" spans="1:47" x14ac:dyDescent="0.25">
      <c r="A63" t="s">
        <v>364</v>
      </c>
      <c r="B63" t="s">
        <v>365</v>
      </c>
      <c r="C63" t="s">
        <v>1074</v>
      </c>
      <c r="D63" s="1">
        <v>45463</v>
      </c>
      <c r="E63">
        <v>6</v>
      </c>
      <c r="F63">
        <v>20</v>
      </c>
      <c r="G63">
        <v>2024</v>
      </c>
      <c r="H63">
        <v>172</v>
      </c>
      <c r="I63">
        <v>-77.450947900000003</v>
      </c>
      <c r="J63">
        <v>169.28141289999999</v>
      </c>
      <c r="K63" s="6">
        <v>3237.4766955008499</v>
      </c>
      <c r="L63" s="6">
        <v>367.54558255457198</v>
      </c>
      <c r="M63" t="s">
        <v>890</v>
      </c>
      <c r="P63" s="1"/>
      <c r="R63" s="2"/>
      <c r="T63" s="4"/>
      <c r="U63" s="4"/>
      <c r="V63" s="4"/>
      <c r="W63" s="4"/>
      <c r="X63" s="4"/>
      <c r="Z63" s="4"/>
      <c r="AA63" s="5"/>
      <c r="AB63" s="4"/>
      <c r="AC63" s="4"/>
      <c r="AD63" s="4"/>
    </row>
    <row r="64" spans="1:47" x14ac:dyDescent="0.25">
      <c r="A64" t="s">
        <v>364</v>
      </c>
      <c r="B64" t="s">
        <v>365</v>
      </c>
      <c r="C64" t="s">
        <v>1074</v>
      </c>
      <c r="D64" s="1">
        <v>45467</v>
      </c>
      <c r="E64">
        <v>6</v>
      </c>
      <c r="F64">
        <v>24</v>
      </c>
      <c r="G64">
        <v>2024</v>
      </c>
      <c r="H64">
        <v>176</v>
      </c>
      <c r="I64">
        <v>-77.451231899999996</v>
      </c>
      <c r="J64">
        <v>169.2811639</v>
      </c>
      <c r="K64" s="6">
        <v>1719.6904865003401</v>
      </c>
      <c r="L64" s="6">
        <v>194.365613641788</v>
      </c>
      <c r="M64" t="s">
        <v>890</v>
      </c>
      <c r="P64" s="1"/>
      <c r="R64" s="2"/>
      <c r="S64" s="4"/>
      <c r="T64" s="4"/>
      <c r="U64" s="4"/>
      <c r="V64" s="4"/>
      <c r="W64" s="4"/>
      <c r="X64" s="4"/>
      <c r="Z64" s="4"/>
      <c r="AA64" s="5"/>
      <c r="AB64" s="4"/>
      <c r="AC64" s="4"/>
      <c r="AD64" s="4"/>
      <c r="AE64" s="4"/>
    </row>
    <row r="65" spans="1:47" s="7" customFormat="1" x14ac:dyDescent="0.25">
      <c r="A65" t="s">
        <v>364</v>
      </c>
      <c r="B65" t="s">
        <v>365</v>
      </c>
      <c r="C65" t="s">
        <v>1074</v>
      </c>
      <c r="D65" s="1">
        <v>45482</v>
      </c>
      <c r="E65">
        <v>7</v>
      </c>
      <c r="F65">
        <v>9</v>
      </c>
      <c r="G65">
        <v>2024</v>
      </c>
      <c r="H65">
        <v>191</v>
      </c>
      <c r="I65">
        <v>-77.452742490000006</v>
      </c>
      <c r="J65" s="4">
        <v>169.275065933333</v>
      </c>
      <c r="K65" s="6">
        <v>1796.0709487061899</v>
      </c>
      <c r="L65" s="6">
        <v>196.97292960843899</v>
      </c>
      <c r="M65" t="s">
        <v>890</v>
      </c>
      <c r="N65"/>
      <c r="O65"/>
      <c r="P65" s="1"/>
      <c r="Q65"/>
      <c r="R65" s="2"/>
      <c r="S65" s="4"/>
      <c r="T65" s="4"/>
      <c r="U65" s="4"/>
      <c r="V65"/>
      <c r="W65" s="4"/>
      <c r="X65"/>
      <c r="Y65"/>
      <c r="Z65" s="4"/>
      <c r="AA65" s="5"/>
      <c r="AB65" s="4"/>
      <c r="AC65" s="4"/>
      <c r="AD65" s="4"/>
      <c r="AE65" s="4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</row>
    <row r="66" spans="1:47" x14ac:dyDescent="0.25">
      <c r="A66" t="s">
        <v>364</v>
      </c>
      <c r="B66" t="s">
        <v>365</v>
      </c>
      <c r="C66" t="s">
        <v>1074</v>
      </c>
      <c r="D66" s="1">
        <v>45489</v>
      </c>
      <c r="E66">
        <v>7</v>
      </c>
      <c r="F66">
        <v>16</v>
      </c>
      <c r="G66">
        <v>2024</v>
      </c>
      <c r="H66">
        <v>198</v>
      </c>
      <c r="I66">
        <v>-77.45059827</v>
      </c>
      <c r="J66">
        <v>169.283064</v>
      </c>
      <c r="K66" s="6">
        <v>1959.2380388644201</v>
      </c>
      <c r="L66" s="6">
        <v>223.18009338451699</v>
      </c>
      <c r="M66" t="s">
        <v>890</v>
      </c>
      <c r="P66" s="1"/>
      <c r="R66" s="2"/>
      <c r="S66" s="4"/>
      <c r="T66" s="4"/>
      <c r="U66" s="4"/>
      <c r="W66" s="4"/>
      <c r="Z66" s="4"/>
      <c r="AA66" s="5"/>
      <c r="AB66" s="4"/>
      <c r="AC66" s="4"/>
      <c r="AD66" s="4"/>
      <c r="AE66" s="4"/>
    </row>
    <row r="67" spans="1:47" x14ac:dyDescent="0.25">
      <c r="A67" t="s">
        <v>364</v>
      </c>
      <c r="B67" t="s">
        <v>365</v>
      </c>
      <c r="C67" t="s">
        <v>1074</v>
      </c>
      <c r="D67" s="1">
        <v>45510</v>
      </c>
      <c r="E67">
        <v>8</v>
      </c>
      <c r="F67">
        <v>6</v>
      </c>
      <c r="G67">
        <v>2024</v>
      </c>
      <c r="H67">
        <v>219</v>
      </c>
      <c r="I67">
        <v>-77.452742490000006</v>
      </c>
      <c r="J67" s="4">
        <v>169.275065933333</v>
      </c>
      <c r="K67" s="6">
        <v>2267.9118043111498</v>
      </c>
      <c r="L67" s="6">
        <v>262.33269083916298</v>
      </c>
      <c r="M67" t="s">
        <v>890</v>
      </c>
      <c r="P67" s="1"/>
      <c r="R67" s="2"/>
      <c r="S67" s="4"/>
      <c r="T67" s="4"/>
      <c r="U67" s="4"/>
      <c r="V67" s="4"/>
      <c r="W67" s="4"/>
      <c r="X67" s="4"/>
      <c r="Z67" s="4"/>
      <c r="AA67" s="5"/>
      <c r="AB67" s="4"/>
      <c r="AC67" s="4"/>
      <c r="AD67" s="4"/>
      <c r="AE67" s="4"/>
    </row>
    <row r="68" spans="1:47" x14ac:dyDescent="0.25">
      <c r="A68" t="s">
        <v>364</v>
      </c>
      <c r="B68" t="s">
        <v>365</v>
      </c>
      <c r="C68" t="s">
        <v>1074</v>
      </c>
      <c r="D68" s="1">
        <v>45513</v>
      </c>
      <c r="E68">
        <v>8</v>
      </c>
      <c r="F68">
        <v>9</v>
      </c>
      <c r="G68">
        <v>2024</v>
      </c>
      <c r="H68">
        <v>222</v>
      </c>
      <c r="I68">
        <v>-77.452742490000006</v>
      </c>
      <c r="J68" s="4">
        <v>169.275065933333</v>
      </c>
      <c r="K68" s="6">
        <v>1574.11120997014</v>
      </c>
      <c r="L68" s="6">
        <v>163.651512019352</v>
      </c>
      <c r="M68" t="s">
        <v>890</v>
      </c>
      <c r="P68" s="1"/>
      <c r="R68" s="2"/>
      <c r="T68" s="4"/>
      <c r="U68" s="4"/>
      <c r="V68" s="4"/>
      <c r="X68" s="4"/>
      <c r="Z68" s="4"/>
      <c r="AA68" s="5"/>
      <c r="AB68" s="4"/>
      <c r="AC68" s="4"/>
      <c r="AD68" s="4"/>
      <c r="AE68" s="4"/>
    </row>
    <row r="69" spans="1:47" x14ac:dyDescent="0.25">
      <c r="A69" t="s">
        <v>451</v>
      </c>
      <c r="B69" t="s">
        <v>452</v>
      </c>
      <c r="C69" t="s">
        <v>1074</v>
      </c>
      <c r="D69" s="1">
        <v>45771</v>
      </c>
      <c r="E69">
        <v>4</v>
      </c>
      <c r="F69">
        <v>24</v>
      </c>
      <c r="G69">
        <v>2025</v>
      </c>
      <c r="H69">
        <v>114</v>
      </c>
      <c r="I69">
        <v>-76.177379999999999</v>
      </c>
      <c r="J69">
        <v>168.394475</v>
      </c>
      <c r="K69" s="6">
        <v>3965.1596362438199</v>
      </c>
      <c r="L69" s="6">
        <v>457.06102312336998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J69" s="4"/>
      <c r="AK69" s="5"/>
      <c r="AM69" s="4"/>
      <c r="AN69" s="4"/>
      <c r="AO69" s="4"/>
      <c r="AP69" s="4"/>
    </row>
    <row r="70" spans="1:47" x14ac:dyDescent="0.25">
      <c r="A70" t="s">
        <v>451</v>
      </c>
      <c r="B70" t="s">
        <v>452</v>
      </c>
      <c r="C70" t="s">
        <v>1074</v>
      </c>
      <c r="D70" s="1">
        <v>45799</v>
      </c>
      <c r="E70">
        <v>5</v>
      </c>
      <c r="F70">
        <v>22</v>
      </c>
      <c r="G70">
        <v>2025</v>
      </c>
      <c r="H70">
        <v>142</v>
      </c>
      <c r="I70">
        <v>-76.177379999999999</v>
      </c>
      <c r="J70">
        <v>168.394475</v>
      </c>
      <c r="K70" s="6">
        <v>7647.7212372112799</v>
      </c>
      <c r="L70" s="6">
        <v>876.19835676202104</v>
      </c>
      <c r="M70" t="s">
        <v>890</v>
      </c>
      <c r="Y70" s="2"/>
      <c r="Z70" s="3"/>
      <c r="AB70" s="1"/>
      <c r="AC70" s="2"/>
      <c r="AD70" s="4"/>
      <c r="AE70" s="4"/>
      <c r="AF70" s="4"/>
      <c r="AH70" s="4"/>
      <c r="AJ70" s="4"/>
      <c r="AK70" s="5"/>
      <c r="AM70" s="4"/>
      <c r="AN70" s="4"/>
      <c r="AO70" s="4"/>
      <c r="AP70" s="4"/>
    </row>
    <row r="71" spans="1:47" x14ac:dyDescent="0.25">
      <c r="A71" t="s">
        <v>451</v>
      </c>
      <c r="B71" t="s">
        <v>452</v>
      </c>
      <c r="C71" t="s">
        <v>1074</v>
      </c>
      <c r="D71" s="1">
        <v>45822</v>
      </c>
      <c r="E71">
        <v>6</v>
      </c>
      <c r="F71">
        <v>14</v>
      </c>
      <c r="G71">
        <v>2025</v>
      </c>
      <c r="H71">
        <v>165</v>
      </c>
      <c r="I71">
        <v>-76.177379999999999</v>
      </c>
      <c r="J71">
        <v>168.394475</v>
      </c>
      <c r="K71" s="6">
        <v>7328.1058100090204</v>
      </c>
      <c r="L71" s="6">
        <v>830.05839044497202</v>
      </c>
      <c r="M71" t="s">
        <v>890</v>
      </c>
      <c r="Y71" s="2"/>
      <c r="Z71" s="3"/>
      <c r="AB71" s="1"/>
      <c r="AC71" s="2"/>
      <c r="AD71" s="4"/>
      <c r="AE71" s="4"/>
      <c r="AF71" s="4"/>
      <c r="AH71" s="4"/>
      <c r="AI71" s="4"/>
      <c r="AJ71" s="4"/>
      <c r="AK71" s="5"/>
      <c r="AN71" s="4"/>
      <c r="AO71" s="4"/>
      <c r="AP71" s="4"/>
    </row>
    <row r="72" spans="1:47" x14ac:dyDescent="0.25">
      <c r="A72" t="s">
        <v>451</v>
      </c>
      <c r="B72" t="s">
        <v>452</v>
      </c>
      <c r="C72" t="s">
        <v>1074</v>
      </c>
      <c r="D72" s="1">
        <v>45838</v>
      </c>
      <c r="E72">
        <v>6</v>
      </c>
      <c r="F72">
        <v>30</v>
      </c>
      <c r="G72">
        <v>2025</v>
      </c>
      <c r="H72">
        <v>181</v>
      </c>
      <c r="I72">
        <v>-76.177379999999999</v>
      </c>
      <c r="J72">
        <v>168.394475</v>
      </c>
      <c r="K72" s="6">
        <v>3998.0101875238402</v>
      </c>
      <c r="L72" s="6">
        <v>471.17662845861599</v>
      </c>
      <c r="M72" t="s">
        <v>890</v>
      </c>
      <c r="Y72" s="2"/>
      <c r="Z72" s="3"/>
      <c r="AB72" s="1"/>
      <c r="AC72" s="2"/>
      <c r="AD72" s="4"/>
      <c r="AE72" s="4"/>
      <c r="AF72" s="4"/>
      <c r="AH72" s="4"/>
      <c r="AI72" s="4"/>
      <c r="AJ72" s="4"/>
      <c r="AK72" s="5"/>
      <c r="AM72" s="4"/>
      <c r="AN72" s="4"/>
      <c r="AO72" s="4"/>
      <c r="AP72" s="4"/>
    </row>
    <row r="73" spans="1:47" x14ac:dyDescent="0.25">
      <c r="A73" t="s">
        <v>451</v>
      </c>
      <c r="B73" t="s">
        <v>452</v>
      </c>
      <c r="C73" t="s">
        <v>1074</v>
      </c>
      <c r="D73" s="1">
        <v>45860</v>
      </c>
      <c r="E73">
        <v>7</v>
      </c>
      <c r="F73">
        <v>22</v>
      </c>
      <c r="G73">
        <v>2025</v>
      </c>
      <c r="H73">
        <v>203</v>
      </c>
      <c r="I73">
        <v>-76.177379999999999</v>
      </c>
      <c r="J73">
        <v>168.394475</v>
      </c>
      <c r="K73" s="6">
        <v>4593.9585123347897</v>
      </c>
      <c r="L73" s="6">
        <v>550.01906649850605</v>
      </c>
      <c r="M73" t="s">
        <v>890</v>
      </c>
      <c r="Y73" s="2"/>
      <c r="Z73" s="3"/>
      <c r="AB73" s="1"/>
      <c r="AC73" s="2"/>
      <c r="AD73" s="4"/>
      <c r="AE73" s="4"/>
      <c r="AF73" s="4"/>
      <c r="AH73" s="4"/>
      <c r="AI73" s="4"/>
      <c r="AJ73" s="4"/>
      <c r="AK73" s="5"/>
      <c r="AM73" s="4"/>
      <c r="AN73" s="4"/>
      <c r="AO73" s="4"/>
      <c r="AP73" s="4"/>
    </row>
    <row r="74" spans="1:47" x14ac:dyDescent="0.25">
      <c r="A74" t="s">
        <v>451</v>
      </c>
      <c r="B74" t="s">
        <v>452</v>
      </c>
      <c r="C74" t="s">
        <v>1074</v>
      </c>
      <c r="D74" s="1">
        <v>45875</v>
      </c>
      <c r="E74">
        <v>8</v>
      </c>
      <c r="F74">
        <v>6</v>
      </c>
      <c r="G74">
        <v>2025</v>
      </c>
      <c r="H74">
        <v>218</v>
      </c>
      <c r="I74">
        <v>-76.177379999999999</v>
      </c>
      <c r="J74">
        <v>168.394475</v>
      </c>
      <c r="K74" s="6">
        <v>4363.3147492279704</v>
      </c>
      <c r="L74" s="6">
        <v>507.39987446001999</v>
      </c>
      <c r="M74" t="s">
        <v>890</v>
      </c>
      <c r="Y74" s="2"/>
      <c r="Z74" s="3"/>
      <c r="AB74" s="1"/>
      <c r="AC74" s="2"/>
      <c r="AD74" s="4"/>
      <c r="AE74" s="4"/>
      <c r="AF74" s="4"/>
      <c r="AH74" s="4"/>
      <c r="AI74" s="4"/>
      <c r="AJ74" s="4"/>
      <c r="AK74" s="5"/>
      <c r="AM74" s="4"/>
      <c r="AN74" s="4"/>
      <c r="AP74" s="4"/>
    </row>
    <row r="75" spans="1:47" x14ac:dyDescent="0.25">
      <c r="A75" t="s">
        <v>451</v>
      </c>
      <c r="B75" t="s">
        <v>452</v>
      </c>
      <c r="C75" t="s">
        <v>1074</v>
      </c>
      <c r="D75" s="1">
        <v>45893</v>
      </c>
      <c r="E75">
        <v>8</v>
      </c>
      <c r="F75">
        <v>24</v>
      </c>
      <c r="G75">
        <v>2025</v>
      </c>
      <c r="H75">
        <v>236</v>
      </c>
      <c r="I75">
        <v>-76.177379999999999</v>
      </c>
      <c r="J75">
        <v>168.394475</v>
      </c>
      <c r="K75" s="6">
        <v>7130.7910803292198</v>
      </c>
      <c r="L75" s="6">
        <v>655.53063714181701</v>
      </c>
      <c r="M75" t="s">
        <v>890</v>
      </c>
      <c r="Y75" s="2"/>
      <c r="Z75" s="3"/>
      <c r="AB75" s="1"/>
      <c r="AC75" s="2"/>
      <c r="AD75" s="4"/>
      <c r="AE75" s="4"/>
      <c r="AF75" s="4"/>
      <c r="AH75" s="4"/>
      <c r="AJ75" s="4"/>
      <c r="AK75" s="5"/>
      <c r="AM75" s="4"/>
      <c r="AN75" s="4"/>
      <c r="AO75" s="4"/>
      <c r="AP75" s="4"/>
    </row>
    <row r="76" spans="1:47" x14ac:dyDescent="0.25">
      <c r="A76" t="s">
        <v>451</v>
      </c>
      <c r="B76" t="s">
        <v>452</v>
      </c>
      <c r="C76" t="s">
        <v>1074</v>
      </c>
      <c r="D76" s="1">
        <v>45405</v>
      </c>
      <c r="E76">
        <v>4</v>
      </c>
      <c r="F76">
        <v>23</v>
      </c>
      <c r="G76">
        <v>2024</v>
      </c>
      <c r="H76">
        <v>114</v>
      </c>
      <c r="I76">
        <v>-76.177109340000001</v>
      </c>
      <c r="J76">
        <v>168.3951361</v>
      </c>
      <c r="K76" s="6">
        <v>749.76901485221595</v>
      </c>
      <c r="L76" s="6">
        <v>87.714691351420996</v>
      </c>
      <c r="M76" t="s">
        <v>890</v>
      </c>
    </row>
    <row r="77" spans="1:47" x14ac:dyDescent="0.25">
      <c r="A77" t="s">
        <v>451</v>
      </c>
      <c r="B77" t="s">
        <v>452</v>
      </c>
      <c r="C77" t="s">
        <v>1074</v>
      </c>
      <c r="D77" s="1">
        <v>45411</v>
      </c>
      <c r="E77">
        <v>4</v>
      </c>
      <c r="F77">
        <v>29</v>
      </c>
      <c r="G77">
        <v>2024</v>
      </c>
      <c r="H77">
        <v>120</v>
      </c>
      <c r="I77">
        <v>-76.177269089999996</v>
      </c>
      <c r="J77">
        <v>168.3912272</v>
      </c>
      <c r="K77" s="6">
        <v>5890.3041012563999</v>
      </c>
      <c r="L77" s="6">
        <v>658.60133209721403</v>
      </c>
      <c r="M77" t="s">
        <v>890</v>
      </c>
    </row>
    <row r="78" spans="1:47" x14ac:dyDescent="0.25">
      <c r="A78" t="s">
        <v>451</v>
      </c>
      <c r="B78" t="s">
        <v>452</v>
      </c>
      <c r="C78" t="s">
        <v>1074</v>
      </c>
      <c r="D78" s="1">
        <v>45414</v>
      </c>
      <c r="E78">
        <v>5</v>
      </c>
      <c r="F78">
        <v>2</v>
      </c>
      <c r="G78">
        <v>2024</v>
      </c>
      <c r="H78">
        <v>123</v>
      </c>
      <c r="I78">
        <v>-76.177269089999996</v>
      </c>
      <c r="J78">
        <v>168.3912272</v>
      </c>
      <c r="K78" s="6">
        <v>14988.7591448315</v>
      </c>
      <c r="L78" s="6">
        <v>1770.3214415316399</v>
      </c>
      <c r="M78" t="s">
        <v>890</v>
      </c>
    </row>
    <row r="79" spans="1:47" x14ac:dyDescent="0.25">
      <c r="A79" t="s">
        <v>451</v>
      </c>
      <c r="B79" t="s">
        <v>452</v>
      </c>
      <c r="C79" t="s">
        <v>1074</v>
      </c>
      <c r="D79" s="1">
        <v>45421</v>
      </c>
      <c r="E79">
        <v>5</v>
      </c>
      <c r="F79">
        <v>9</v>
      </c>
      <c r="G79">
        <v>2024</v>
      </c>
      <c r="H79">
        <v>130</v>
      </c>
      <c r="I79">
        <v>-76.177339900000007</v>
      </c>
      <c r="J79">
        <v>168.39055283636301</v>
      </c>
      <c r="K79" s="6">
        <v>7635.8438715213997</v>
      </c>
      <c r="L79" s="6">
        <v>899.52158255817005</v>
      </c>
      <c r="M79" t="s">
        <v>890</v>
      </c>
    </row>
    <row r="80" spans="1:47" x14ac:dyDescent="0.25">
      <c r="A80" t="s">
        <v>451</v>
      </c>
      <c r="B80" t="s">
        <v>452</v>
      </c>
      <c r="C80" t="s">
        <v>1074</v>
      </c>
      <c r="D80" s="1">
        <v>45429</v>
      </c>
      <c r="E80">
        <v>5</v>
      </c>
      <c r="F80">
        <v>17</v>
      </c>
      <c r="G80">
        <v>2024</v>
      </c>
      <c r="H80">
        <v>138</v>
      </c>
      <c r="I80">
        <v>-76.177269089999996</v>
      </c>
      <c r="J80">
        <v>168.3912272</v>
      </c>
      <c r="K80" s="6">
        <v>6808.6982037543203</v>
      </c>
      <c r="L80" s="6">
        <v>778.04766848198506</v>
      </c>
      <c r="M80" t="s">
        <v>890</v>
      </c>
    </row>
    <row r="81" spans="1:47" x14ac:dyDescent="0.25">
      <c r="A81" t="s">
        <v>451</v>
      </c>
      <c r="B81" t="s">
        <v>452</v>
      </c>
      <c r="C81" t="s">
        <v>1074</v>
      </c>
      <c r="D81" s="1">
        <v>45436</v>
      </c>
      <c r="E81">
        <v>5</v>
      </c>
      <c r="F81">
        <v>24</v>
      </c>
      <c r="G81">
        <v>2024</v>
      </c>
      <c r="H81">
        <v>145</v>
      </c>
      <c r="I81">
        <v>-76.177901989999995</v>
      </c>
      <c r="J81">
        <v>168.39030080000001</v>
      </c>
      <c r="K81" s="6">
        <v>8641.2272690371192</v>
      </c>
      <c r="L81" s="6">
        <v>981.73728850358805</v>
      </c>
      <c r="M81" t="s">
        <v>890</v>
      </c>
    </row>
    <row r="82" spans="1:47" x14ac:dyDescent="0.25">
      <c r="A82" t="s">
        <v>451</v>
      </c>
      <c r="B82" t="s">
        <v>452</v>
      </c>
      <c r="C82" t="s">
        <v>1074</v>
      </c>
      <c r="D82" s="1">
        <v>45450</v>
      </c>
      <c r="E82">
        <v>6</v>
      </c>
      <c r="F82">
        <v>7</v>
      </c>
      <c r="G82">
        <v>2024</v>
      </c>
      <c r="H82">
        <v>159</v>
      </c>
      <c r="I82">
        <v>-76.177457070000003</v>
      </c>
      <c r="J82">
        <v>168.3915643</v>
      </c>
      <c r="K82" s="6">
        <v>6247.1081380949099</v>
      </c>
      <c r="L82" s="6">
        <v>736.35055743390103</v>
      </c>
      <c r="M82" t="s">
        <v>890</v>
      </c>
    </row>
    <row r="83" spans="1:47" x14ac:dyDescent="0.25">
      <c r="A83" t="s">
        <v>451</v>
      </c>
      <c r="B83" t="s">
        <v>452</v>
      </c>
      <c r="C83" t="s">
        <v>1074</v>
      </c>
      <c r="D83" s="1">
        <v>45467</v>
      </c>
      <c r="E83">
        <v>6</v>
      </c>
      <c r="F83">
        <v>24</v>
      </c>
      <c r="G83">
        <v>2024</v>
      </c>
      <c r="H83">
        <v>176</v>
      </c>
      <c r="I83">
        <v>-76.177269089999996</v>
      </c>
      <c r="J83">
        <v>168.3912272</v>
      </c>
      <c r="K83" s="6">
        <v>5029.9291930947802</v>
      </c>
      <c r="L83" s="6">
        <v>581.62305574287996</v>
      </c>
      <c r="M83" t="s">
        <v>890</v>
      </c>
    </row>
    <row r="84" spans="1:47" x14ac:dyDescent="0.25">
      <c r="A84" t="s">
        <v>451</v>
      </c>
      <c r="B84" t="s">
        <v>452</v>
      </c>
      <c r="C84" t="s">
        <v>1074</v>
      </c>
      <c r="D84" s="1">
        <v>45513</v>
      </c>
      <c r="E84">
        <v>8</v>
      </c>
      <c r="F84">
        <v>9</v>
      </c>
      <c r="G84">
        <v>2024</v>
      </c>
      <c r="H84">
        <v>222</v>
      </c>
      <c r="I84">
        <v>-76.176363300000006</v>
      </c>
      <c r="J84">
        <v>168.39021854285701</v>
      </c>
      <c r="K84" s="6">
        <v>5089.5631022252101</v>
      </c>
      <c r="L84" s="6">
        <v>564.05032868390799</v>
      </c>
      <c r="M84" t="s">
        <v>890</v>
      </c>
    </row>
    <row r="85" spans="1:47" x14ac:dyDescent="0.25">
      <c r="A85" t="s">
        <v>538</v>
      </c>
      <c r="B85" t="s">
        <v>539</v>
      </c>
      <c r="C85" t="s">
        <v>1074</v>
      </c>
      <c r="D85" s="1">
        <v>45772</v>
      </c>
      <c r="E85">
        <v>4</v>
      </c>
      <c r="F85">
        <v>25</v>
      </c>
      <c r="G85">
        <v>2025</v>
      </c>
      <c r="H85">
        <v>115</v>
      </c>
      <c r="I85">
        <v>-71.983065999999994</v>
      </c>
      <c r="J85">
        <v>170.60781700000001</v>
      </c>
      <c r="K85" s="6">
        <v>9238.5687318547007</v>
      </c>
      <c r="L85" s="6">
        <v>943.22351777028302</v>
      </c>
      <c r="M85" t="s">
        <v>890</v>
      </c>
      <c r="AA85" s="2"/>
      <c r="AB85" s="3"/>
      <c r="AD85" s="1"/>
      <c r="AE85" s="2"/>
      <c r="AN85" s="6"/>
      <c r="AU85" s="6"/>
    </row>
    <row r="86" spans="1:47" x14ac:dyDescent="0.25">
      <c r="A86" t="s">
        <v>538</v>
      </c>
      <c r="B86" t="s">
        <v>539</v>
      </c>
      <c r="C86" t="s">
        <v>1074</v>
      </c>
      <c r="D86" s="1">
        <v>45799</v>
      </c>
      <c r="E86">
        <v>5</v>
      </c>
      <c r="F86">
        <v>22</v>
      </c>
      <c r="G86">
        <v>2025</v>
      </c>
      <c r="H86">
        <v>142</v>
      </c>
      <c r="I86">
        <v>-71.983065999999994</v>
      </c>
      <c r="J86">
        <v>170.60781700000001</v>
      </c>
      <c r="K86" s="6">
        <v>9882.9209073638103</v>
      </c>
      <c r="L86" s="6">
        <v>1005.09318611893</v>
      </c>
      <c r="M86" t="s">
        <v>890</v>
      </c>
      <c r="AA86" s="2"/>
      <c r="AB86" s="3"/>
      <c r="AD86" s="1"/>
      <c r="AE86" s="2"/>
      <c r="AN86" s="6"/>
      <c r="AU86" s="6"/>
    </row>
    <row r="87" spans="1:47" x14ac:dyDescent="0.25">
      <c r="A87" t="s">
        <v>538</v>
      </c>
      <c r="B87" t="s">
        <v>539</v>
      </c>
      <c r="C87" t="s">
        <v>1074</v>
      </c>
      <c r="D87" s="1">
        <v>45821</v>
      </c>
      <c r="E87">
        <v>6</v>
      </c>
      <c r="F87">
        <v>13</v>
      </c>
      <c r="G87">
        <v>2025</v>
      </c>
      <c r="H87">
        <v>164</v>
      </c>
      <c r="I87">
        <v>-71.983065999999994</v>
      </c>
      <c r="J87">
        <v>170.60781700000001</v>
      </c>
      <c r="K87" s="6">
        <v>5784.6896475721496</v>
      </c>
      <c r="L87" s="6">
        <v>456.14460788112399</v>
      </c>
      <c r="M87" t="s">
        <v>890</v>
      </c>
      <c r="AA87" s="2"/>
      <c r="AB87" s="3"/>
      <c r="AD87" s="1"/>
      <c r="AE87" s="2"/>
      <c r="AN87" s="6"/>
      <c r="AU87" s="6"/>
    </row>
    <row r="88" spans="1:47" x14ac:dyDescent="0.25">
      <c r="A88" t="s">
        <v>538</v>
      </c>
      <c r="B88" t="s">
        <v>539</v>
      </c>
      <c r="C88" t="s">
        <v>1074</v>
      </c>
      <c r="D88" s="1">
        <v>45838</v>
      </c>
      <c r="E88">
        <v>6</v>
      </c>
      <c r="F88">
        <v>30</v>
      </c>
      <c r="G88">
        <v>2025</v>
      </c>
      <c r="H88">
        <v>181</v>
      </c>
      <c r="I88">
        <v>-71.983065999999994</v>
      </c>
      <c r="J88">
        <v>170.60781700000001</v>
      </c>
      <c r="K88" s="6">
        <v>8666.0771209699706</v>
      </c>
      <c r="L88" s="6">
        <v>1058.0912249845101</v>
      </c>
      <c r="M88" t="s">
        <v>890</v>
      </c>
      <c r="AA88" s="2"/>
      <c r="AB88" s="3"/>
      <c r="AD88" s="1"/>
      <c r="AE88" s="2"/>
      <c r="AN88" s="6"/>
      <c r="AU88" s="6"/>
    </row>
    <row r="89" spans="1:47" x14ac:dyDescent="0.25">
      <c r="A89" t="s">
        <v>538</v>
      </c>
      <c r="B89" t="s">
        <v>539</v>
      </c>
      <c r="C89" t="s">
        <v>1074</v>
      </c>
      <c r="D89" s="1">
        <v>45856</v>
      </c>
      <c r="E89">
        <v>7</v>
      </c>
      <c r="F89">
        <v>18</v>
      </c>
      <c r="G89">
        <v>2025</v>
      </c>
      <c r="H89">
        <v>199</v>
      </c>
      <c r="I89">
        <v>-71.983065999999994</v>
      </c>
      <c r="J89">
        <v>170.60781700000001</v>
      </c>
      <c r="K89" s="6">
        <v>5851.3125510735199</v>
      </c>
      <c r="L89" s="6">
        <v>442.00407259565702</v>
      </c>
      <c r="M89" t="s">
        <v>890</v>
      </c>
      <c r="AA89" s="2"/>
      <c r="AB89" s="3"/>
      <c r="AD89" s="1"/>
      <c r="AE89" s="2"/>
      <c r="AN89" s="6"/>
      <c r="AU89" s="6"/>
    </row>
    <row r="90" spans="1:47" x14ac:dyDescent="0.25">
      <c r="A90" t="s">
        <v>538</v>
      </c>
      <c r="B90" t="s">
        <v>539</v>
      </c>
      <c r="C90" t="s">
        <v>1074</v>
      </c>
      <c r="D90" s="1">
        <v>45875</v>
      </c>
      <c r="E90">
        <v>8</v>
      </c>
      <c r="F90">
        <v>6</v>
      </c>
      <c r="G90">
        <v>2025</v>
      </c>
      <c r="H90">
        <v>218</v>
      </c>
      <c r="I90">
        <v>-71.983065999999994</v>
      </c>
      <c r="J90">
        <v>170.60781700000001</v>
      </c>
      <c r="K90" s="6">
        <v>7238.6481429691803</v>
      </c>
      <c r="L90" s="6">
        <v>704.11100803888405</v>
      </c>
      <c r="M90" t="s">
        <v>890</v>
      </c>
      <c r="AA90" s="2"/>
      <c r="AB90" s="3"/>
      <c r="AD90" s="1"/>
      <c r="AE90" s="2"/>
      <c r="AN90" s="6"/>
      <c r="AU90" s="6"/>
    </row>
    <row r="91" spans="1:47" x14ac:dyDescent="0.25">
      <c r="A91" t="s">
        <v>538</v>
      </c>
      <c r="B91" t="s">
        <v>539</v>
      </c>
      <c r="C91" t="s">
        <v>1074</v>
      </c>
      <c r="D91" s="1">
        <v>45889</v>
      </c>
      <c r="E91">
        <v>8</v>
      </c>
      <c r="F91">
        <v>20</v>
      </c>
      <c r="G91">
        <v>2025</v>
      </c>
      <c r="H91">
        <v>232</v>
      </c>
      <c r="I91">
        <v>-71.983065999999994</v>
      </c>
      <c r="J91">
        <v>170.60781700000001</v>
      </c>
      <c r="K91" s="6">
        <v>2978.6376580369702</v>
      </c>
      <c r="L91" s="6">
        <v>303.706980683724</v>
      </c>
      <c r="M91" t="s">
        <v>890</v>
      </c>
      <c r="AA91" s="2"/>
      <c r="AB91" s="3"/>
      <c r="AD91" s="1"/>
      <c r="AE91" s="2"/>
      <c r="AN91" s="6"/>
      <c r="AU91" s="6"/>
    </row>
    <row r="92" spans="1:47" x14ac:dyDescent="0.25">
      <c r="A92" t="s">
        <v>538</v>
      </c>
      <c r="B92" t="s">
        <v>539</v>
      </c>
      <c r="C92" t="s">
        <v>1074</v>
      </c>
      <c r="D92" s="1">
        <v>45414</v>
      </c>
      <c r="E92">
        <v>5</v>
      </c>
      <c r="F92">
        <v>2</v>
      </c>
      <c r="G92">
        <v>2024</v>
      </c>
      <c r="H92">
        <v>123</v>
      </c>
      <c r="I92">
        <v>-71.983345990000004</v>
      </c>
      <c r="J92">
        <v>170.59750446428501</v>
      </c>
      <c r="K92" s="6">
        <v>12833.164074066901</v>
      </c>
      <c r="L92" s="6">
        <v>1249.34436333702</v>
      </c>
      <c r="M92" t="s">
        <v>890</v>
      </c>
    </row>
    <row r="93" spans="1:47" x14ac:dyDescent="0.25">
      <c r="A93" t="s">
        <v>538</v>
      </c>
      <c r="B93" t="s">
        <v>539</v>
      </c>
      <c r="C93" t="s">
        <v>1074</v>
      </c>
      <c r="D93" s="1">
        <v>45421</v>
      </c>
      <c r="E93">
        <v>5</v>
      </c>
      <c r="F93">
        <v>9</v>
      </c>
      <c r="G93">
        <v>2024</v>
      </c>
      <c r="H93">
        <v>130</v>
      </c>
      <c r="I93">
        <v>-71.984683369999999</v>
      </c>
      <c r="J93">
        <v>170.596798957142</v>
      </c>
      <c r="K93" s="6">
        <v>7087.1087453094196</v>
      </c>
      <c r="L93" s="6">
        <v>611.279229050906</v>
      </c>
      <c r="M93" t="s">
        <v>890</v>
      </c>
    </row>
    <row r="94" spans="1:47" x14ac:dyDescent="0.25">
      <c r="A94" t="s">
        <v>538</v>
      </c>
      <c r="B94" t="s">
        <v>539</v>
      </c>
      <c r="C94" t="s">
        <v>1074</v>
      </c>
      <c r="D94" s="1">
        <v>45429</v>
      </c>
      <c r="E94">
        <v>5</v>
      </c>
      <c r="F94">
        <v>17</v>
      </c>
      <c r="G94">
        <v>2024</v>
      </c>
      <c r="H94">
        <v>138</v>
      </c>
      <c r="I94">
        <v>-71.984524840000006</v>
      </c>
      <c r="J94">
        <v>170.59934686363599</v>
      </c>
      <c r="K94" s="6">
        <v>8535.8751254700201</v>
      </c>
      <c r="L94" s="6">
        <v>886.73582593426795</v>
      </c>
      <c r="M94" t="s">
        <v>890</v>
      </c>
    </row>
    <row r="95" spans="1:47" x14ac:dyDescent="0.25">
      <c r="A95" t="s">
        <v>538</v>
      </c>
      <c r="B95" t="s">
        <v>539</v>
      </c>
      <c r="C95" t="s">
        <v>1074</v>
      </c>
      <c r="D95" s="1">
        <v>45436</v>
      </c>
      <c r="E95">
        <v>5</v>
      </c>
      <c r="F95">
        <v>24</v>
      </c>
      <c r="G95">
        <v>2024</v>
      </c>
      <c r="H95">
        <v>145</v>
      </c>
      <c r="I95">
        <v>-71.983551930000004</v>
      </c>
      <c r="J95">
        <v>170.59823390769199</v>
      </c>
      <c r="K95" s="6">
        <v>10735.959016516599</v>
      </c>
      <c r="L95" s="6">
        <v>1071.7551773744999</v>
      </c>
      <c r="M95" t="s">
        <v>890</v>
      </c>
    </row>
    <row r="96" spans="1:47" x14ac:dyDescent="0.25">
      <c r="A96" t="s">
        <v>538</v>
      </c>
      <c r="B96" t="s">
        <v>539</v>
      </c>
      <c r="C96" t="s">
        <v>1074</v>
      </c>
      <c r="D96" s="1">
        <v>45444</v>
      </c>
      <c r="E96">
        <v>6</v>
      </c>
      <c r="F96">
        <v>1</v>
      </c>
      <c r="G96">
        <v>2024</v>
      </c>
      <c r="H96">
        <v>153</v>
      </c>
      <c r="I96">
        <v>-71.984505900000002</v>
      </c>
      <c r="J96">
        <v>170.598348063636</v>
      </c>
      <c r="K96" s="6">
        <v>8173.5750926465498</v>
      </c>
      <c r="L96" s="6">
        <v>800.12996894603305</v>
      </c>
      <c r="M96" t="s">
        <v>890</v>
      </c>
    </row>
    <row r="97" spans="1:47" x14ac:dyDescent="0.25">
      <c r="A97" t="s">
        <v>538</v>
      </c>
      <c r="B97" t="s">
        <v>539</v>
      </c>
      <c r="C97" t="s">
        <v>1074</v>
      </c>
      <c r="D97" s="1">
        <v>45450</v>
      </c>
      <c r="E97">
        <v>6</v>
      </c>
      <c r="F97">
        <v>7</v>
      </c>
      <c r="G97">
        <v>2024</v>
      </c>
      <c r="H97">
        <v>159</v>
      </c>
      <c r="I97">
        <v>-71.985153280000006</v>
      </c>
      <c r="J97">
        <v>170.59429287692299</v>
      </c>
      <c r="K97" s="6">
        <v>8044.5183008071299</v>
      </c>
      <c r="L97" s="6">
        <v>859.79835343034097</v>
      </c>
      <c r="M97" t="s">
        <v>890</v>
      </c>
    </row>
    <row r="98" spans="1:47" x14ac:dyDescent="0.25">
      <c r="A98" t="s">
        <v>538</v>
      </c>
      <c r="B98" t="s">
        <v>539</v>
      </c>
      <c r="C98" t="s">
        <v>1074</v>
      </c>
      <c r="D98" s="1">
        <v>45464</v>
      </c>
      <c r="E98">
        <v>6</v>
      </c>
      <c r="F98">
        <v>21</v>
      </c>
      <c r="G98">
        <v>2024</v>
      </c>
      <c r="H98">
        <v>173</v>
      </c>
      <c r="I98">
        <v>-71.984573019999999</v>
      </c>
      <c r="J98">
        <v>170.600429977777</v>
      </c>
      <c r="K98" s="6">
        <v>7353.3665211383504</v>
      </c>
      <c r="L98" s="6">
        <v>755.35734098740295</v>
      </c>
      <c r="M98" t="s">
        <v>890</v>
      </c>
    </row>
    <row r="99" spans="1:47" x14ac:dyDescent="0.25">
      <c r="A99" t="s">
        <v>538</v>
      </c>
      <c r="B99" t="s">
        <v>539</v>
      </c>
      <c r="C99" t="s">
        <v>1074</v>
      </c>
      <c r="D99" s="1">
        <v>45468</v>
      </c>
      <c r="E99">
        <v>6</v>
      </c>
      <c r="F99">
        <v>25</v>
      </c>
      <c r="G99">
        <v>2024</v>
      </c>
      <c r="H99">
        <v>177</v>
      </c>
      <c r="I99">
        <v>-71.984676269999994</v>
      </c>
      <c r="J99">
        <v>170.59599143333301</v>
      </c>
      <c r="K99" s="6">
        <v>4795.5326854161804</v>
      </c>
      <c r="L99" s="6">
        <v>519.235003257117</v>
      </c>
      <c r="M99" t="s">
        <v>890</v>
      </c>
    </row>
    <row r="100" spans="1:47" x14ac:dyDescent="0.25">
      <c r="A100" t="s">
        <v>538</v>
      </c>
      <c r="B100" t="s">
        <v>539</v>
      </c>
      <c r="C100" t="s">
        <v>1074</v>
      </c>
      <c r="D100" s="1">
        <v>45483</v>
      </c>
      <c r="E100">
        <v>7</v>
      </c>
      <c r="F100">
        <v>10</v>
      </c>
      <c r="G100">
        <v>2024</v>
      </c>
      <c r="H100">
        <v>192</v>
      </c>
      <c r="I100">
        <v>-71.985043390000001</v>
      </c>
      <c r="J100">
        <v>170.6026991</v>
      </c>
      <c r="K100" s="6">
        <v>5184.7743565691599</v>
      </c>
      <c r="L100" s="6">
        <v>545.81366605735695</v>
      </c>
      <c r="M100" t="s">
        <v>890</v>
      </c>
    </row>
    <row r="101" spans="1:47" x14ac:dyDescent="0.25">
      <c r="A101" t="s">
        <v>538</v>
      </c>
      <c r="B101" t="s">
        <v>539</v>
      </c>
      <c r="C101" t="s">
        <v>1074</v>
      </c>
      <c r="D101" s="1">
        <v>45489</v>
      </c>
      <c r="E101">
        <v>7</v>
      </c>
      <c r="F101">
        <v>16</v>
      </c>
      <c r="G101">
        <v>2024</v>
      </c>
      <c r="H101">
        <v>198</v>
      </c>
      <c r="I101">
        <v>-71.986823200000003</v>
      </c>
      <c r="J101">
        <v>170.59846590000001</v>
      </c>
      <c r="K101" s="6">
        <v>3712.1248370738599</v>
      </c>
      <c r="L101" s="6">
        <v>361.917494063182</v>
      </c>
      <c r="M101" t="s">
        <v>890</v>
      </c>
    </row>
    <row r="102" spans="1:47" x14ac:dyDescent="0.25">
      <c r="A102" t="s">
        <v>538</v>
      </c>
      <c r="B102" t="s">
        <v>539</v>
      </c>
      <c r="C102" t="s">
        <v>1074</v>
      </c>
      <c r="D102" s="1">
        <v>45513</v>
      </c>
      <c r="E102">
        <v>8</v>
      </c>
      <c r="F102">
        <v>9</v>
      </c>
      <c r="G102">
        <v>2024</v>
      </c>
      <c r="H102">
        <v>222</v>
      </c>
      <c r="I102">
        <v>-71.984439010000003</v>
      </c>
      <c r="J102">
        <v>170.59524640000001</v>
      </c>
      <c r="K102" s="6">
        <v>5624.6342114283198</v>
      </c>
      <c r="L102" s="6">
        <v>518.85350784791103</v>
      </c>
      <c r="M102" t="s">
        <v>890</v>
      </c>
    </row>
    <row r="103" spans="1:47" x14ac:dyDescent="0.25">
      <c r="A103" t="s">
        <v>623</v>
      </c>
      <c r="B103" t="s">
        <v>624</v>
      </c>
      <c r="C103" t="s">
        <v>1074</v>
      </c>
      <c r="D103" s="1">
        <v>45771</v>
      </c>
      <c r="E103">
        <v>4</v>
      </c>
      <c r="F103">
        <v>24</v>
      </c>
      <c r="G103">
        <v>2025</v>
      </c>
      <c r="H103">
        <v>114</v>
      </c>
      <c r="I103">
        <v>-74.645037000000002</v>
      </c>
      <c r="J103">
        <v>165.38853700000001</v>
      </c>
      <c r="K103" s="6">
        <v>10575.9133181993</v>
      </c>
      <c r="L103" s="6">
        <v>1164.36253005714</v>
      </c>
      <c r="M103" t="s">
        <v>890</v>
      </c>
      <c r="N103" s="2"/>
      <c r="AA103" s="6"/>
      <c r="AH103" s="6"/>
    </row>
    <row r="104" spans="1:47" x14ac:dyDescent="0.25">
      <c r="A104" t="s">
        <v>623</v>
      </c>
      <c r="B104" t="s">
        <v>624</v>
      </c>
      <c r="C104" t="s">
        <v>1074</v>
      </c>
      <c r="D104" s="1">
        <v>45800</v>
      </c>
      <c r="E104">
        <v>5</v>
      </c>
      <c r="F104">
        <v>23</v>
      </c>
      <c r="G104">
        <v>2025</v>
      </c>
      <c r="H104">
        <v>143</v>
      </c>
      <c r="I104">
        <v>-74.645037000000002</v>
      </c>
      <c r="J104">
        <v>165.38853700000001</v>
      </c>
      <c r="K104" s="6">
        <v>23282.272546173601</v>
      </c>
      <c r="L104" s="6">
        <v>2471.2704690611399</v>
      </c>
      <c r="M104" t="s">
        <v>890</v>
      </c>
      <c r="N104" s="2"/>
      <c r="AA104" s="6"/>
      <c r="AH104" s="6"/>
    </row>
    <row r="105" spans="1:47" x14ac:dyDescent="0.25">
      <c r="A105" t="s">
        <v>623</v>
      </c>
      <c r="B105" t="s">
        <v>624</v>
      </c>
      <c r="C105" t="s">
        <v>1074</v>
      </c>
      <c r="D105" s="1">
        <v>45821</v>
      </c>
      <c r="E105">
        <v>6</v>
      </c>
      <c r="F105">
        <v>13</v>
      </c>
      <c r="G105">
        <v>2025</v>
      </c>
      <c r="H105">
        <v>164</v>
      </c>
      <c r="I105">
        <v>-74.645037000000002</v>
      </c>
      <c r="J105">
        <v>165.38853700000001</v>
      </c>
      <c r="K105" s="6">
        <v>27401.085074435399</v>
      </c>
      <c r="L105" s="6">
        <v>2707.06136699748</v>
      </c>
      <c r="M105" t="s">
        <v>890</v>
      </c>
      <c r="P105" s="1"/>
      <c r="R105" s="2"/>
      <c r="AA105" s="6"/>
      <c r="AH105" s="6"/>
    </row>
    <row r="106" spans="1:47" x14ac:dyDescent="0.25">
      <c r="A106" t="s">
        <v>623</v>
      </c>
      <c r="B106" t="s">
        <v>624</v>
      </c>
      <c r="C106" t="s">
        <v>1074</v>
      </c>
      <c r="D106" s="1">
        <v>45838</v>
      </c>
      <c r="E106">
        <v>6</v>
      </c>
      <c r="F106">
        <v>30</v>
      </c>
      <c r="G106">
        <v>2025</v>
      </c>
      <c r="H106">
        <v>181</v>
      </c>
      <c r="I106">
        <v>-74.645037000000002</v>
      </c>
      <c r="J106">
        <v>165.38853700000001</v>
      </c>
      <c r="K106" s="6">
        <v>12318.1817711819</v>
      </c>
      <c r="L106" s="6">
        <v>1294.1913539053601</v>
      </c>
      <c r="M106" t="s">
        <v>890</v>
      </c>
      <c r="P106" s="1"/>
      <c r="R106" s="2"/>
      <c r="AA106" s="6"/>
      <c r="AH106" s="6"/>
    </row>
    <row r="107" spans="1:47" x14ac:dyDescent="0.25">
      <c r="A107" t="s">
        <v>623</v>
      </c>
      <c r="B107" t="s">
        <v>624</v>
      </c>
      <c r="C107" t="s">
        <v>1074</v>
      </c>
      <c r="D107" s="1">
        <v>45856</v>
      </c>
      <c r="E107">
        <v>7</v>
      </c>
      <c r="F107">
        <v>18</v>
      </c>
      <c r="G107">
        <v>2025</v>
      </c>
      <c r="H107">
        <v>199</v>
      </c>
      <c r="I107">
        <v>-74.645037000000002</v>
      </c>
      <c r="J107">
        <v>165.38853700000001</v>
      </c>
      <c r="K107" s="6">
        <v>13147.607540269701</v>
      </c>
      <c r="L107" s="6">
        <v>1317.8274771675001</v>
      </c>
      <c r="M107" t="s">
        <v>890</v>
      </c>
      <c r="AA107" s="2"/>
      <c r="AB107" s="3"/>
      <c r="AD107" s="1"/>
      <c r="AE107" s="2"/>
      <c r="AN107" s="6"/>
      <c r="AU107" s="6"/>
    </row>
    <row r="108" spans="1:47" x14ac:dyDescent="0.25">
      <c r="A108" t="s">
        <v>623</v>
      </c>
      <c r="B108" t="s">
        <v>624</v>
      </c>
      <c r="C108" t="s">
        <v>1074</v>
      </c>
      <c r="D108" s="1">
        <v>45875</v>
      </c>
      <c r="E108">
        <v>8</v>
      </c>
      <c r="F108">
        <v>6</v>
      </c>
      <c r="G108">
        <v>2025</v>
      </c>
      <c r="H108">
        <v>218</v>
      </c>
      <c r="I108">
        <v>-74.645037000000002</v>
      </c>
      <c r="J108">
        <v>165.38853700000001</v>
      </c>
      <c r="K108" s="6">
        <v>8637.9179610524097</v>
      </c>
      <c r="L108" s="6">
        <v>923.48106502061705</v>
      </c>
      <c r="M108" t="s">
        <v>890</v>
      </c>
      <c r="AA108" s="2"/>
      <c r="AB108" s="3"/>
      <c r="AD108" s="1"/>
      <c r="AE108" s="2"/>
      <c r="AN108" s="6"/>
      <c r="AU108" s="6"/>
    </row>
    <row r="109" spans="1:47" x14ac:dyDescent="0.25">
      <c r="A109" t="s">
        <v>623</v>
      </c>
      <c r="B109" t="s">
        <v>624</v>
      </c>
      <c r="C109" t="s">
        <v>1074</v>
      </c>
      <c r="D109" s="1">
        <v>45889</v>
      </c>
      <c r="E109">
        <v>8</v>
      </c>
      <c r="F109">
        <v>20</v>
      </c>
      <c r="G109">
        <v>2025</v>
      </c>
      <c r="H109">
        <v>232</v>
      </c>
      <c r="I109">
        <v>-74.645037000000002</v>
      </c>
      <c r="J109">
        <v>165.38853700000001</v>
      </c>
      <c r="K109" s="6">
        <v>9372.2679733504101</v>
      </c>
      <c r="L109" s="6">
        <v>1093.95119375593</v>
      </c>
      <c r="M109" t="s">
        <v>890</v>
      </c>
      <c r="AA109" s="2"/>
      <c r="AB109" s="3"/>
      <c r="AD109" s="1"/>
      <c r="AE109" s="2"/>
      <c r="AN109" s="6"/>
      <c r="AU109" s="6"/>
    </row>
    <row r="110" spans="1:47" x14ac:dyDescent="0.25">
      <c r="A110" t="s">
        <v>623</v>
      </c>
      <c r="B110" t="s">
        <v>624</v>
      </c>
      <c r="C110" t="s">
        <v>1074</v>
      </c>
      <c r="D110" s="1">
        <v>45405</v>
      </c>
      <c r="E110">
        <v>4</v>
      </c>
      <c r="F110">
        <v>23</v>
      </c>
      <c r="G110">
        <v>2024</v>
      </c>
      <c r="H110">
        <v>114</v>
      </c>
      <c r="I110">
        <v>-74.646391159999993</v>
      </c>
      <c r="J110">
        <v>165.38680590000001</v>
      </c>
      <c r="K110" s="6">
        <v>5031.6607257065498</v>
      </c>
      <c r="L110" s="6">
        <v>528.14623064027296</v>
      </c>
      <c r="M110" t="s">
        <v>890</v>
      </c>
      <c r="AA110" s="2"/>
      <c r="AB110" s="3"/>
      <c r="AD110" s="1"/>
      <c r="AE110" s="2"/>
      <c r="AN110" s="6"/>
      <c r="AU110" s="6"/>
    </row>
    <row r="111" spans="1:47" x14ac:dyDescent="0.25">
      <c r="A111" t="s">
        <v>623</v>
      </c>
      <c r="B111" t="s">
        <v>624</v>
      </c>
      <c r="C111" t="s">
        <v>1074</v>
      </c>
      <c r="D111" s="1">
        <v>45411</v>
      </c>
      <c r="E111">
        <v>4</v>
      </c>
      <c r="F111">
        <v>29</v>
      </c>
      <c r="G111">
        <v>2024</v>
      </c>
      <c r="H111">
        <v>120</v>
      </c>
      <c r="I111">
        <v>-74.647318170000005</v>
      </c>
      <c r="J111">
        <v>165.38765485925899</v>
      </c>
      <c r="K111" s="6">
        <v>20430.5387270147</v>
      </c>
      <c r="L111" s="6">
        <v>2170.5273393004099</v>
      </c>
      <c r="M111" t="s">
        <v>890</v>
      </c>
      <c r="AA111" s="2"/>
      <c r="AB111" s="3"/>
      <c r="AD111" s="1"/>
      <c r="AE111" s="2"/>
      <c r="AN111" s="6"/>
      <c r="AU111" s="6"/>
    </row>
    <row r="112" spans="1:47" x14ac:dyDescent="0.25">
      <c r="A112" t="s">
        <v>623</v>
      </c>
      <c r="B112" t="s">
        <v>624</v>
      </c>
      <c r="C112" t="s">
        <v>1074</v>
      </c>
      <c r="D112" s="1">
        <v>45421</v>
      </c>
      <c r="E112">
        <v>5</v>
      </c>
      <c r="F112">
        <v>9</v>
      </c>
      <c r="G112">
        <v>2024</v>
      </c>
      <c r="H112">
        <v>130</v>
      </c>
      <c r="I112">
        <v>-74.64768866</v>
      </c>
      <c r="J112">
        <v>165.39221779629599</v>
      </c>
      <c r="K112" s="6">
        <v>15019.0433474253</v>
      </c>
      <c r="L112" s="6">
        <v>1694.4896614145</v>
      </c>
      <c r="M112" t="s">
        <v>890</v>
      </c>
      <c r="AA112" s="2"/>
      <c r="AB112" s="3"/>
      <c r="AD112" s="1"/>
      <c r="AE112" s="2"/>
      <c r="AN112" s="6"/>
      <c r="AU112" s="6"/>
    </row>
    <row r="113" spans="1:47" x14ac:dyDescent="0.25">
      <c r="A113" t="s">
        <v>623</v>
      </c>
      <c r="B113" t="s">
        <v>624</v>
      </c>
      <c r="C113" t="s">
        <v>1074</v>
      </c>
      <c r="D113" s="1">
        <v>45436</v>
      </c>
      <c r="E113">
        <v>5</v>
      </c>
      <c r="F113">
        <v>24</v>
      </c>
      <c r="G113">
        <v>2024</v>
      </c>
      <c r="H113">
        <v>145</v>
      </c>
      <c r="I113">
        <v>-74.647290350000006</v>
      </c>
      <c r="J113">
        <v>165.39319045555499</v>
      </c>
      <c r="K113" s="6">
        <v>19025.2337865468</v>
      </c>
      <c r="L113" s="6">
        <v>2021.6318652861401</v>
      </c>
      <c r="M113" t="s">
        <v>890</v>
      </c>
      <c r="AA113" s="2"/>
      <c r="AB113" s="3"/>
      <c r="AD113" s="1"/>
      <c r="AE113" s="2"/>
      <c r="AN113" s="6"/>
      <c r="AU113" s="6"/>
    </row>
    <row r="114" spans="1:47" x14ac:dyDescent="0.25">
      <c r="A114" t="s">
        <v>623</v>
      </c>
      <c r="B114" t="s">
        <v>624</v>
      </c>
      <c r="C114" t="s">
        <v>1074</v>
      </c>
      <c r="D114" s="1">
        <v>45449</v>
      </c>
      <c r="E114">
        <v>6</v>
      </c>
      <c r="F114">
        <v>6</v>
      </c>
      <c r="G114">
        <v>2024</v>
      </c>
      <c r="H114">
        <v>158</v>
      </c>
      <c r="I114">
        <v>-74.646682859999999</v>
      </c>
      <c r="J114">
        <v>165.395295</v>
      </c>
      <c r="K114" s="6">
        <v>16307.2535248448</v>
      </c>
      <c r="L114" s="6">
        <v>1702.8079338268301</v>
      </c>
      <c r="M114" t="s">
        <v>890</v>
      </c>
    </row>
    <row r="115" spans="1:47" x14ac:dyDescent="0.25">
      <c r="A115" t="s">
        <v>623</v>
      </c>
      <c r="B115" t="s">
        <v>624</v>
      </c>
      <c r="C115" t="s">
        <v>1074</v>
      </c>
      <c r="D115" s="1">
        <v>45463</v>
      </c>
      <c r="E115">
        <v>6</v>
      </c>
      <c r="F115">
        <v>20</v>
      </c>
      <c r="G115">
        <v>2024</v>
      </c>
      <c r="H115">
        <v>172</v>
      </c>
      <c r="I115">
        <v>-74.646998909999994</v>
      </c>
      <c r="J115">
        <v>165.39369043684201</v>
      </c>
      <c r="K115" s="6">
        <v>10970.5573980221</v>
      </c>
      <c r="L115" s="6">
        <v>1185.71456329794</v>
      </c>
      <c r="M115" t="s">
        <v>890</v>
      </c>
    </row>
    <row r="116" spans="1:47" x14ac:dyDescent="0.25">
      <c r="A116" t="s">
        <v>623</v>
      </c>
      <c r="B116" t="s">
        <v>624</v>
      </c>
      <c r="C116" t="s">
        <v>1074</v>
      </c>
      <c r="D116" s="1">
        <v>45468</v>
      </c>
      <c r="E116">
        <v>6</v>
      </c>
      <c r="F116">
        <v>25</v>
      </c>
      <c r="G116">
        <v>2024</v>
      </c>
      <c r="H116">
        <v>177</v>
      </c>
      <c r="I116">
        <v>-74.646594930000006</v>
      </c>
      <c r="J116">
        <v>165.39365989999999</v>
      </c>
      <c r="K116" s="6">
        <v>14161.504460226601</v>
      </c>
      <c r="L116" s="6">
        <v>1290.81598105897</v>
      </c>
      <c r="M116" t="s">
        <v>890</v>
      </c>
    </row>
    <row r="117" spans="1:47" x14ac:dyDescent="0.25">
      <c r="A117" t="s">
        <v>623</v>
      </c>
      <c r="B117" t="s">
        <v>624</v>
      </c>
      <c r="C117" t="s">
        <v>1074</v>
      </c>
      <c r="D117" s="1">
        <v>45483</v>
      </c>
      <c r="E117">
        <v>7</v>
      </c>
      <c r="F117">
        <v>10</v>
      </c>
      <c r="G117">
        <v>2024</v>
      </c>
      <c r="H117">
        <v>192</v>
      </c>
      <c r="I117">
        <v>-74.646918560000003</v>
      </c>
      <c r="J117">
        <v>165.39369310000001</v>
      </c>
      <c r="K117" s="6">
        <v>9644.0309486053702</v>
      </c>
      <c r="L117" s="6">
        <v>1064.95051670975</v>
      </c>
      <c r="M117" t="s">
        <v>890</v>
      </c>
    </row>
    <row r="118" spans="1:47" x14ac:dyDescent="0.25">
      <c r="A118" t="s">
        <v>623</v>
      </c>
      <c r="B118" t="s">
        <v>624</v>
      </c>
      <c r="C118" t="s">
        <v>1074</v>
      </c>
      <c r="D118" s="1">
        <v>45510</v>
      </c>
      <c r="E118">
        <v>8</v>
      </c>
      <c r="F118">
        <v>6</v>
      </c>
      <c r="G118">
        <v>2024</v>
      </c>
      <c r="H118">
        <v>219</v>
      </c>
      <c r="I118">
        <v>-74.646629489999995</v>
      </c>
      <c r="J118">
        <v>165.3944583</v>
      </c>
      <c r="K118" s="6">
        <v>6588.8722175581597</v>
      </c>
      <c r="L118" s="6">
        <v>723.46018049384702</v>
      </c>
      <c r="M118" t="s">
        <v>890</v>
      </c>
      <c r="P118" s="1"/>
      <c r="R118" s="2"/>
      <c r="AA118" s="6"/>
      <c r="AH118" s="6"/>
    </row>
    <row r="119" spans="1:47" x14ac:dyDescent="0.25">
      <c r="A119" t="s">
        <v>623</v>
      </c>
      <c r="B119" t="s">
        <v>624</v>
      </c>
      <c r="C119" t="s">
        <v>1074</v>
      </c>
      <c r="D119" s="1">
        <v>45513</v>
      </c>
      <c r="E119">
        <v>8</v>
      </c>
      <c r="F119">
        <v>9</v>
      </c>
      <c r="G119">
        <v>2024</v>
      </c>
      <c r="H119">
        <v>222</v>
      </c>
      <c r="I119">
        <v>-74.647856700000006</v>
      </c>
      <c r="J119">
        <v>165.39687258571399</v>
      </c>
      <c r="K119" s="6">
        <v>11826.2424286187</v>
      </c>
      <c r="L119" s="6">
        <v>1216.58827988599</v>
      </c>
      <c r="M119" t="s">
        <v>890</v>
      </c>
      <c r="P119" s="1"/>
      <c r="R119" s="2"/>
      <c r="AA119" s="6"/>
      <c r="AH119" s="6"/>
    </row>
    <row r="120" spans="1:47" x14ac:dyDescent="0.25">
      <c r="A120" t="s">
        <v>0</v>
      </c>
      <c r="B120" t="s">
        <v>1</v>
      </c>
      <c r="C120" t="s">
        <v>1077</v>
      </c>
      <c r="D120" s="1">
        <v>45847</v>
      </c>
      <c r="E120" s="16">
        <v>7</v>
      </c>
      <c r="F120">
        <v>9</v>
      </c>
      <c r="G120">
        <v>2025</v>
      </c>
      <c r="H120">
        <v>190</v>
      </c>
      <c r="I120">
        <v>-76.930000000000007</v>
      </c>
      <c r="J120">
        <v>166.94</v>
      </c>
      <c r="K120">
        <v>563.95000000000005</v>
      </c>
      <c r="L120">
        <v>67.22</v>
      </c>
      <c r="M120" t="s">
        <v>1078</v>
      </c>
    </row>
    <row r="121" spans="1:47" x14ac:dyDescent="0.25">
      <c r="A121" t="s">
        <v>111</v>
      </c>
      <c r="B121" t="s">
        <v>112</v>
      </c>
      <c r="C121" t="s">
        <v>1077</v>
      </c>
      <c r="D121" s="1">
        <v>45862</v>
      </c>
      <c r="E121">
        <v>7</v>
      </c>
      <c r="F121">
        <v>24</v>
      </c>
      <c r="G121">
        <v>2025</v>
      </c>
      <c r="H121">
        <v>205.2</v>
      </c>
      <c r="I121">
        <v>-77.150000000000006</v>
      </c>
      <c r="J121">
        <v>-157.58000000000001</v>
      </c>
      <c r="K121" s="6">
        <v>21418.41</v>
      </c>
      <c r="L121" s="6">
        <v>2910.88</v>
      </c>
      <c r="M121" t="s">
        <v>1078</v>
      </c>
    </row>
    <row r="122" spans="1:47" x14ac:dyDescent="0.25">
      <c r="A122" t="s">
        <v>240</v>
      </c>
      <c r="B122" t="s">
        <v>241</v>
      </c>
      <c r="C122" t="s">
        <v>1077</v>
      </c>
      <c r="D122" s="1">
        <v>45856</v>
      </c>
      <c r="E122">
        <v>7</v>
      </c>
      <c r="F122">
        <v>18</v>
      </c>
      <c r="G122">
        <v>2025</v>
      </c>
      <c r="H122">
        <v>199</v>
      </c>
      <c r="I122">
        <v>-73.349999999999994</v>
      </c>
      <c r="J122">
        <v>169.61</v>
      </c>
      <c r="K122" s="6">
        <v>16088.12</v>
      </c>
      <c r="L122" s="6">
        <v>2521.48</v>
      </c>
      <c r="M122" t="s">
        <v>1078</v>
      </c>
    </row>
    <row r="123" spans="1:47" x14ac:dyDescent="0.25">
      <c r="A123" t="s">
        <v>240</v>
      </c>
      <c r="B123" t="s">
        <v>241</v>
      </c>
      <c r="C123" t="s">
        <v>1077</v>
      </c>
      <c r="D123" s="1">
        <v>45489</v>
      </c>
      <c r="E123">
        <v>7</v>
      </c>
      <c r="F123">
        <v>16</v>
      </c>
      <c r="G123">
        <v>2024</v>
      </c>
      <c r="H123">
        <v>196.5</v>
      </c>
      <c r="I123">
        <v>-73.349999999999994</v>
      </c>
      <c r="J123">
        <v>169.61</v>
      </c>
      <c r="K123" s="6">
        <v>16376.19</v>
      </c>
      <c r="L123" s="6">
        <v>2390.7199999999998</v>
      </c>
      <c r="M123" t="s">
        <v>1078</v>
      </c>
    </row>
    <row r="124" spans="1:47" x14ac:dyDescent="0.25">
      <c r="A124" t="s">
        <v>364</v>
      </c>
      <c r="B124" t="s">
        <v>365</v>
      </c>
      <c r="C124" t="s">
        <v>1077</v>
      </c>
      <c r="D124" s="1">
        <v>45856</v>
      </c>
      <c r="E124" s="16">
        <v>7</v>
      </c>
      <c r="F124">
        <v>18</v>
      </c>
      <c r="G124">
        <v>2025</v>
      </c>
      <c r="H124">
        <v>199</v>
      </c>
      <c r="I124">
        <v>-77.45</v>
      </c>
      <c r="J124">
        <v>169.28</v>
      </c>
      <c r="K124" s="6">
        <v>1990.66</v>
      </c>
      <c r="L124" s="6">
        <v>312.98</v>
      </c>
      <c r="M124" t="s">
        <v>1078</v>
      </c>
    </row>
    <row r="125" spans="1:47" x14ac:dyDescent="0.25">
      <c r="A125" t="s">
        <v>364</v>
      </c>
      <c r="B125" t="s">
        <v>365</v>
      </c>
      <c r="C125" t="s">
        <v>1077</v>
      </c>
      <c r="D125" s="1">
        <v>45474</v>
      </c>
      <c r="E125" s="16">
        <v>7</v>
      </c>
      <c r="F125">
        <v>1</v>
      </c>
      <c r="G125">
        <v>2024</v>
      </c>
      <c r="H125">
        <v>182.67</v>
      </c>
      <c r="I125">
        <v>-77.45</v>
      </c>
      <c r="J125">
        <v>169.28</v>
      </c>
      <c r="K125" s="6">
        <v>2349.79</v>
      </c>
      <c r="L125" s="6">
        <v>538.41999999999996</v>
      </c>
      <c r="M125" t="s">
        <v>1078</v>
      </c>
    </row>
    <row r="126" spans="1:47" x14ac:dyDescent="0.25">
      <c r="A126" t="s">
        <v>451</v>
      </c>
      <c r="B126" t="s">
        <v>452</v>
      </c>
      <c r="C126" t="s">
        <v>1077</v>
      </c>
      <c r="D126" s="1">
        <v>45492</v>
      </c>
      <c r="E126">
        <v>7</v>
      </c>
      <c r="F126">
        <v>19</v>
      </c>
      <c r="G126">
        <v>2025</v>
      </c>
      <c r="H126">
        <v>200.67</v>
      </c>
      <c r="I126">
        <v>-76.176363300000006</v>
      </c>
      <c r="J126">
        <v>168.39021854285701</v>
      </c>
      <c r="K126" s="6">
        <v>4318.43</v>
      </c>
      <c r="L126" s="6">
        <v>538.26</v>
      </c>
      <c r="M126" t="s">
        <v>1078</v>
      </c>
    </row>
    <row r="127" spans="1:47" x14ac:dyDescent="0.25">
      <c r="A127" t="s">
        <v>451</v>
      </c>
      <c r="B127" t="s">
        <v>452</v>
      </c>
      <c r="C127" t="s">
        <v>1077</v>
      </c>
      <c r="D127" s="1">
        <v>45467</v>
      </c>
      <c r="E127">
        <v>8</v>
      </c>
      <c r="F127">
        <v>9</v>
      </c>
      <c r="G127">
        <v>2024</v>
      </c>
      <c r="H127">
        <v>176</v>
      </c>
      <c r="I127">
        <v>-76.176363300000006</v>
      </c>
      <c r="J127">
        <v>168.39021854285701</v>
      </c>
      <c r="K127" s="6">
        <v>5029.93</v>
      </c>
      <c r="L127" s="6">
        <v>581.62</v>
      </c>
      <c r="M127" t="s">
        <v>1078</v>
      </c>
    </row>
    <row r="128" spans="1:47" x14ac:dyDescent="0.25">
      <c r="A128" t="s">
        <v>538</v>
      </c>
      <c r="B128" t="s">
        <v>539</v>
      </c>
      <c r="C128" t="s">
        <v>1077</v>
      </c>
      <c r="D128" s="1">
        <v>45856</v>
      </c>
      <c r="E128">
        <v>7</v>
      </c>
      <c r="F128">
        <v>18</v>
      </c>
      <c r="G128">
        <v>2025</v>
      </c>
      <c r="H128">
        <v>199.33</v>
      </c>
      <c r="I128">
        <v>-71.98</v>
      </c>
      <c r="J128">
        <v>170.61</v>
      </c>
      <c r="K128" s="6">
        <v>7252.01</v>
      </c>
      <c r="L128" s="6">
        <v>1095.5</v>
      </c>
      <c r="M128" t="s">
        <v>1078</v>
      </c>
    </row>
    <row r="129" spans="1:34" x14ac:dyDescent="0.25">
      <c r="A129" t="s">
        <v>538</v>
      </c>
      <c r="B129" t="s">
        <v>539</v>
      </c>
      <c r="C129" t="s">
        <v>1077</v>
      </c>
      <c r="D129" s="1">
        <v>45477</v>
      </c>
      <c r="E129">
        <v>7</v>
      </c>
      <c r="F129">
        <v>4</v>
      </c>
      <c r="G129">
        <v>2024</v>
      </c>
      <c r="H129">
        <v>185</v>
      </c>
      <c r="I129">
        <v>-71.98</v>
      </c>
      <c r="J129">
        <v>170.6</v>
      </c>
      <c r="K129" s="6">
        <v>5261.45</v>
      </c>
      <c r="L129" s="6">
        <v>938.59</v>
      </c>
      <c r="M129" t="s">
        <v>1078</v>
      </c>
      <c r="P129" s="1"/>
      <c r="R129" s="2"/>
      <c r="AA129" s="6"/>
      <c r="AH129" s="6"/>
    </row>
    <row r="130" spans="1:34" x14ac:dyDescent="0.25">
      <c r="A130" t="s">
        <v>623</v>
      </c>
      <c r="B130" t="s">
        <v>624</v>
      </c>
      <c r="C130" t="s">
        <v>1077</v>
      </c>
      <c r="D130" s="1">
        <v>45856</v>
      </c>
      <c r="E130">
        <v>7</v>
      </c>
      <c r="F130">
        <v>18</v>
      </c>
      <c r="G130">
        <v>2025</v>
      </c>
      <c r="H130">
        <v>199.33</v>
      </c>
      <c r="I130">
        <v>-74.650000000000006</v>
      </c>
      <c r="J130">
        <v>165.39</v>
      </c>
      <c r="K130" s="6">
        <v>11367.9</v>
      </c>
      <c r="L130" s="6">
        <v>1819.17</v>
      </c>
      <c r="M130" t="s">
        <v>1078</v>
      </c>
    </row>
    <row r="131" spans="1:34" x14ac:dyDescent="0.25">
      <c r="A131" t="s">
        <v>623</v>
      </c>
      <c r="B131" t="s">
        <v>624</v>
      </c>
      <c r="C131" t="s">
        <v>1077</v>
      </c>
      <c r="D131" s="1">
        <v>45482</v>
      </c>
      <c r="E131">
        <v>7</v>
      </c>
      <c r="F131">
        <v>9</v>
      </c>
      <c r="G131">
        <v>2024</v>
      </c>
      <c r="H131">
        <v>190</v>
      </c>
      <c r="I131">
        <v>-74.650000000000006</v>
      </c>
      <c r="J131">
        <v>165.39</v>
      </c>
      <c r="K131" s="6">
        <v>10341.24</v>
      </c>
      <c r="L131" s="6">
        <v>1897.35</v>
      </c>
      <c r="M131" t="s">
        <v>1078</v>
      </c>
    </row>
    <row r="132" spans="1:34" x14ac:dyDescent="0.25">
      <c r="A132" t="s">
        <v>0</v>
      </c>
      <c r="B132" t="s">
        <v>1</v>
      </c>
      <c r="C132" t="s">
        <v>1076</v>
      </c>
      <c r="D132" t="s">
        <v>885</v>
      </c>
      <c r="E132" t="s">
        <v>885</v>
      </c>
      <c r="F132" t="s">
        <v>885</v>
      </c>
      <c r="G132">
        <v>2024</v>
      </c>
      <c r="H132" t="s">
        <v>885</v>
      </c>
      <c r="I132">
        <v>-76.94</v>
      </c>
      <c r="J132">
        <v>167.02</v>
      </c>
      <c r="K132">
        <v>293.27367138409801</v>
      </c>
      <c r="L132">
        <v>123.62036790900601</v>
      </c>
      <c r="M132" t="s">
        <v>1075</v>
      </c>
      <c r="N132" t="s">
        <v>1080</v>
      </c>
    </row>
    <row r="133" spans="1:34" x14ac:dyDescent="0.25">
      <c r="A133" t="s">
        <v>0</v>
      </c>
      <c r="B133" t="s">
        <v>1</v>
      </c>
      <c r="C133" t="s">
        <v>1076</v>
      </c>
      <c r="D133" s="1">
        <v>45933</v>
      </c>
      <c r="E133">
        <v>10</v>
      </c>
      <c r="F133">
        <v>3</v>
      </c>
      <c r="G133">
        <v>2025</v>
      </c>
      <c r="H133">
        <v>276</v>
      </c>
      <c r="I133">
        <v>-76.94</v>
      </c>
      <c r="J133">
        <v>167.02</v>
      </c>
      <c r="K133">
        <v>273.89797034803797</v>
      </c>
      <c r="L133">
        <v>113.644228857277</v>
      </c>
      <c r="M133" t="s">
        <v>1075</v>
      </c>
    </row>
    <row r="134" spans="1:34" x14ac:dyDescent="0.25">
      <c r="A134" t="s">
        <v>111</v>
      </c>
      <c r="B134" t="s">
        <v>112</v>
      </c>
      <c r="C134" t="s">
        <v>1076</v>
      </c>
      <c r="D134" s="1">
        <v>45583</v>
      </c>
      <c r="E134">
        <v>10</v>
      </c>
      <c r="F134">
        <v>18</v>
      </c>
      <c r="G134">
        <v>2024</v>
      </c>
      <c r="H134">
        <v>292</v>
      </c>
      <c r="I134">
        <v>-77.135000000000005</v>
      </c>
      <c r="J134">
        <v>-157.715</v>
      </c>
      <c r="K134" s="6">
        <v>23821.739111590701</v>
      </c>
      <c r="L134" s="6">
        <v>6363.6769728346799</v>
      </c>
      <c r="M134" t="s">
        <v>1075</v>
      </c>
    </row>
    <row r="135" spans="1:34" x14ac:dyDescent="0.25">
      <c r="A135" t="s">
        <v>111</v>
      </c>
      <c r="B135" t="s">
        <v>112</v>
      </c>
      <c r="C135" t="s">
        <v>1076</v>
      </c>
      <c r="D135" s="1">
        <v>45929</v>
      </c>
      <c r="E135">
        <v>9</v>
      </c>
      <c r="F135">
        <v>29</v>
      </c>
      <c r="G135">
        <v>2025</v>
      </c>
      <c r="H135">
        <v>272</v>
      </c>
      <c r="I135">
        <v>-77.135000000000005</v>
      </c>
      <c r="J135">
        <v>-157.715</v>
      </c>
      <c r="K135" s="6">
        <v>23618.610811503899</v>
      </c>
      <c r="L135" s="6">
        <v>6739.4749036125704</v>
      </c>
      <c r="M135" t="s">
        <v>1075</v>
      </c>
    </row>
    <row r="136" spans="1:34" x14ac:dyDescent="0.25">
      <c r="A136" t="s">
        <v>240</v>
      </c>
      <c r="B136" t="s">
        <v>241</v>
      </c>
      <c r="C136" t="s">
        <v>1076</v>
      </c>
      <c r="D136" s="1">
        <v>45925</v>
      </c>
      <c r="E136">
        <v>9</v>
      </c>
      <c r="F136">
        <v>25</v>
      </c>
      <c r="G136">
        <v>2025</v>
      </c>
      <c r="H136">
        <v>268</v>
      </c>
      <c r="I136">
        <v>-73.349999999999994</v>
      </c>
      <c r="J136">
        <v>169.61</v>
      </c>
      <c r="K136">
        <v>12409.807796953</v>
      </c>
      <c r="L136">
        <v>2617.7321655516898</v>
      </c>
      <c r="M136" t="s">
        <v>1075</v>
      </c>
      <c r="N136" t="s">
        <v>753</v>
      </c>
    </row>
    <row r="137" spans="1:34" x14ac:dyDescent="0.25">
      <c r="A137" t="s">
        <v>240</v>
      </c>
      <c r="B137" t="s">
        <v>241</v>
      </c>
      <c r="C137" t="s">
        <v>1076</v>
      </c>
      <c r="D137" s="1">
        <v>45925</v>
      </c>
      <c r="E137">
        <v>9</v>
      </c>
      <c r="F137">
        <v>25</v>
      </c>
      <c r="G137">
        <v>2025</v>
      </c>
      <c r="H137">
        <v>268</v>
      </c>
      <c r="I137">
        <v>-73.349999999999994</v>
      </c>
      <c r="J137">
        <v>169.61</v>
      </c>
      <c r="K137">
        <v>8850.1174659997196</v>
      </c>
      <c r="L137">
        <v>2638.1451956722299</v>
      </c>
      <c r="M137" t="s">
        <v>1075</v>
      </c>
      <c r="N137" t="s">
        <v>767</v>
      </c>
    </row>
    <row r="138" spans="1:34" x14ac:dyDescent="0.25">
      <c r="A138" t="s">
        <v>240</v>
      </c>
      <c r="B138" t="s">
        <v>241</v>
      </c>
      <c r="C138" t="s">
        <v>1076</v>
      </c>
      <c r="D138" s="1">
        <v>45925</v>
      </c>
      <c r="E138">
        <v>9</v>
      </c>
      <c r="F138">
        <v>25</v>
      </c>
      <c r="G138">
        <v>2025</v>
      </c>
      <c r="H138">
        <v>268</v>
      </c>
      <c r="I138">
        <v>-73.349999999999994</v>
      </c>
      <c r="J138">
        <v>169.61</v>
      </c>
      <c r="K138">
        <v>10089.035478232399</v>
      </c>
      <c r="L138">
        <v>2369.1238350262702</v>
      </c>
      <c r="M138" t="s">
        <v>1075</v>
      </c>
      <c r="N138" t="s">
        <v>769</v>
      </c>
    </row>
    <row r="139" spans="1:34" x14ac:dyDescent="0.25">
      <c r="A139" t="s">
        <v>364</v>
      </c>
      <c r="B139" t="s">
        <v>365</v>
      </c>
      <c r="C139" t="s">
        <v>1076</v>
      </c>
      <c r="D139" s="1" t="s">
        <v>885</v>
      </c>
      <c r="E139" s="16" t="s">
        <v>885</v>
      </c>
      <c r="F139" t="s">
        <v>885</v>
      </c>
      <c r="G139">
        <v>2024</v>
      </c>
      <c r="H139" t="s">
        <v>885</v>
      </c>
      <c r="I139">
        <v>-77.459999999999994</v>
      </c>
      <c r="J139">
        <v>169.32</v>
      </c>
      <c r="K139" s="6">
        <v>1332.22398527275</v>
      </c>
      <c r="L139" s="6">
        <v>232.35302783361001</v>
      </c>
      <c r="M139" t="s">
        <v>1075</v>
      </c>
      <c r="N139" t="s">
        <v>1080</v>
      </c>
    </row>
    <row r="140" spans="1:34" x14ac:dyDescent="0.25">
      <c r="A140" t="s">
        <v>364</v>
      </c>
      <c r="B140" t="s">
        <v>365</v>
      </c>
      <c r="C140" t="s">
        <v>1076</v>
      </c>
      <c r="D140" s="1">
        <v>45940</v>
      </c>
      <c r="E140">
        <v>10</v>
      </c>
      <c r="F140">
        <v>10</v>
      </c>
      <c r="G140">
        <v>2025</v>
      </c>
      <c r="H140">
        <v>283</v>
      </c>
      <c r="I140">
        <v>-77.459999999999994</v>
      </c>
      <c r="J140">
        <v>169.32</v>
      </c>
      <c r="K140" s="6">
        <v>1715.3462213370599</v>
      </c>
      <c r="L140" s="6">
        <v>330.47912272201398</v>
      </c>
      <c r="M140" t="s">
        <v>1075</v>
      </c>
    </row>
    <row r="141" spans="1:34" x14ac:dyDescent="0.25">
      <c r="A141" t="s">
        <v>451</v>
      </c>
      <c r="B141" t="s">
        <v>452</v>
      </c>
      <c r="C141" t="s">
        <v>1076</v>
      </c>
      <c r="D141" t="s">
        <v>885</v>
      </c>
      <c r="E141" t="s">
        <v>885</v>
      </c>
      <c r="F141" t="s">
        <v>885</v>
      </c>
      <c r="G141">
        <v>2024</v>
      </c>
      <c r="H141" t="s">
        <v>885</v>
      </c>
      <c r="I141">
        <v>-76.180000000000007</v>
      </c>
      <c r="J141">
        <v>168.43</v>
      </c>
      <c r="K141" s="6">
        <v>3172.5315182796198</v>
      </c>
      <c r="L141" s="6">
        <v>836.95163966881898</v>
      </c>
      <c r="M141" t="s">
        <v>1075</v>
      </c>
      <c r="N141" t="s">
        <v>1080</v>
      </c>
    </row>
    <row r="142" spans="1:34" x14ac:dyDescent="0.25">
      <c r="A142" t="s">
        <v>451</v>
      </c>
      <c r="B142" t="s">
        <v>452</v>
      </c>
      <c r="C142" t="s">
        <v>1076</v>
      </c>
      <c r="D142" s="1">
        <v>45954</v>
      </c>
      <c r="E142">
        <v>10</v>
      </c>
      <c r="F142">
        <v>24</v>
      </c>
      <c r="G142">
        <v>2025</v>
      </c>
      <c r="H142">
        <v>297</v>
      </c>
      <c r="I142">
        <v>-76.180000000000007</v>
      </c>
      <c r="J142">
        <v>168.43</v>
      </c>
      <c r="K142" s="6">
        <v>2998.2686839243902</v>
      </c>
      <c r="L142" s="6">
        <v>847.33834295368604</v>
      </c>
      <c r="M142" t="s">
        <v>1075</v>
      </c>
    </row>
    <row r="143" spans="1:34" x14ac:dyDescent="0.25">
      <c r="A143" t="s">
        <v>538</v>
      </c>
      <c r="B143" t="s">
        <v>539</v>
      </c>
      <c r="C143" t="s">
        <v>1076</v>
      </c>
      <c r="D143" s="1">
        <v>45952</v>
      </c>
      <c r="E143">
        <v>10</v>
      </c>
      <c r="F143">
        <v>22</v>
      </c>
      <c r="G143">
        <v>2025</v>
      </c>
      <c r="H143">
        <v>295</v>
      </c>
      <c r="I143">
        <v>-71.989999999999995</v>
      </c>
      <c r="J143">
        <v>170.59</v>
      </c>
      <c r="K143" s="6">
        <v>4049.6042319881399</v>
      </c>
      <c r="L143" s="6">
        <v>979.09588400158498</v>
      </c>
      <c r="M143" t="s">
        <v>1075</v>
      </c>
    </row>
    <row r="144" spans="1:34" x14ac:dyDescent="0.25">
      <c r="A144" t="s">
        <v>538</v>
      </c>
      <c r="B144" t="s">
        <v>539</v>
      </c>
      <c r="C144" t="s">
        <v>1076</v>
      </c>
      <c r="D144" s="1">
        <v>45576</v>
      </c>
      <c r="E144">
        <v>10</v>
      </c>
      <c r="F144">
        <v>11</v>
      </c>
      <c r="G144">
        <v>2024</v>
      </c>
      <c r="H144">
        <v>285</v>
      </c>
      <c r="I144">
        <v>-71.989999999999995</v>
      </c>
      <c r="J144">
        <v>170.59</v>
      </c>
      <c r="K144" s="6">
        <v>4382.1129978388999</v>
      </c>
      <c r="L144" s="6">
        <v>814.91775564922602</v>
      </c>
      <c r="M144" t="s">
        <v>1075</v>
      </c>
    </row>
    <row r="145" spans="1:34" x14ac:dyDescent="0.25">
      <c r="A145" t="s">
        <v>623</v>
      </c>
      <c r="B145" t="s">
        <v>624</v>
      </c>
      <c r="C145" t="s">
        <v>1076</v>
      </c>
      <c r="D145" s="1">
        <v>45592</v>
      </c>
      <c r="E145">
        <v>10</v>
      </c>
      <c r="F145">
        <v>27</v>
      </c>
      <c r="G145">
        <v>2024</v>
      </c>
      <c r="H145">
        <v>301</v>
      </c>
      <c r="I145">
        <v>-74.64</v>
      </c>
      <c r="J145">
        <v>165.37</v>
      </c>
      <c r="K145" s="6">
        <v>7458.1892687337604</v>
      </c>
      <c r="L145" s="6">
        <v>1616.4237107541401</v>
      </c>
      <c r="M145" t="s">
        <v>1075</v>
      </c>
      <c r="P145" s="1"/>
      <c r="R145" s="2"/>
      <c r="AA145" s="6"/>
      <c r="AH145" s="6"/>
    </row>
    <row r="146" spans="1:34" x14ac:dyDescent="0.25">
      <c r="A146" t="s">
        <v>623</v>
      </c>
      <c r="B146" t="s">
        <v>624</v>
      </c>
      <c r="C146" t="s">
        <v>1076</v>
      </c>
      <c r="D146" s="1">
        <v>45962</v>
      </c>
      <c r="E146">
        <v>11</v>
      </c>
      <c r="F146">
        <v>1</v>
      </c>
      <c r="G146">
        <v>2025</v>
      </c>
      <c r="H146">
        <v>305</v>
      </c>
      <c r="I146">
        <v>-74.64</v>
      </c>
      <c r="J146">
        <v>165.37</v>
      </c>
      <c r="K146" s="6">
        <v>6819.6388978741297</v>
      </c>
      <c r="L146" s="6">
        <v>1786.3114644796401</v>
      </c>
      <c r="M146" t="s">
        <v>1075</v>
      </c>
    </row>
    <row r="147" spans="1:34" x14ac:dyDescent="0.25">
      <c r="A147" t="s">
        <v>0</v>
      </c>
      <c r="B147" t="s">
        <v>1</v>
      </c>
      <c r="C147" t="s">
        <v>1076</v>
      </c>
      <c r="D147" s="1">
        <v>45933</v>
      </c>
      <c r="E147">
        <v>10</v>
      </c>
      <c r="F147">
        <v>3</v>
      </c>
      <c r="G147">
        <v>2025</v>
      </c>
      <c r="H147">
        <v>276</v>
      </c>
      <c r="I147">
        <v>-76.932184000000007</v>
      </c>
      <c r="J147">
        <v>166.94161800000001</v>
      </c>
      <c r="K147" s="4">
        <v>1198.4072953448699</v>
      </c>
      <c r="L147" s="6">
        <v>99.540289081739601</v>
      </c>
      <c r="M147" t="s">
        <v>1071</v>
      </c>
    </row>
    <row r="148" spans="1:34" x14ac:dyDescent="0.25">
      <c r="A148" t="s">
        <v>111</v>
      </c>
      <c r="B148" t="s">
        <v>112</v>
      </c>
      <c r="C148" t="s">
        <v>1076</v>
      </c>
      <c r="D148" s="1">
        <v>45929</v>
      </c>
      <c r="E148">
        <v>9</v>
      </c>
      <c r="F148">
        <v>29</v>
      </c>
      <c r="G148">
        <v>2025</v>
      </c>
      <c r="H148">
        <v>272</v>
      </c>
      <c r="I148">
        <v>-77.135000000000005</v>
      </c>
      <c r="J148">
        <v>-157.715</v>
      </c>
      <c r="K148" s="6">
        <v>160987.53357217001</v>
      </c>
      <c r="L148" s="6">
        <v>17148.025596260999</v>
      </c>
      <c r="M148" t="s">
        <v>1071</v>
      </c>
    </row>
    <row r="149" spans="1:34" x14ac:dyDescent="0.25">
      <c r="A149" t="s">
        <v>813</v>
      </c>
      <c r="B149" t="s">
        <v>112</v>
      </c>
      <c r="C149" t="s">
        <v>1076</v>
      </c>
      <c r="D149" s="1">
        <v>45583</v>
      </c>
      <c r="E149">
        <v>10</v>
      </c>
      <c r="F149">
        <v>18</v>
      </c>
      <c r="G149">
        <v>2024</v>
      </c>
      <c r="H149">
        <v>292</v>
      </c>
      <c r="I149">
        <v>-77.151399999999995</v>
      </c>
      <c r="J149">
        <v>-157.58410000000001</v>
      </c>
      <c r="K149" s="6">
        <v>93554.120508881897</v>
      </c>
      <c r="L149" s="6">
        <v>8541.8463167075097</v>
      </c>
      <c r="M149" t="s">
        <v>1071</v>
      </c>
      <c r="N149" s="2"/>
    </row>
    <row r="150" spans="1:34" x14ac:dyDescent="0.25">
      <c r="A150" t="s">
        <v>240</v>
      </c>
      <c r="B150" t="s">
        <v>241</v>
      </c>
      <c r="C150" t="s">
        <v>1076</v>
      </c>
      <c r="D150" s="1">
        <v>45925</v>
      </c>
      <c r="E150">
        <v>9</v>
      </c>
      <c r="F150">
        <v>25</v>
      </c>
      <c r="G150">
        <v>2025</v>
      </c>
      <c r="H150">
        <v>268</v>
      </c>
      <c r="I150">
        <v>-73.349999999999994</v>
      </c>
      <c r="J150">
        <v>169.61</v>
      </c>
      <c r="K150">
        <v>88794.036749999999</v>
      </c>
      <c r="L150" s="6">
        <v>8906.7078824819891</v>
      </c>
      <c r="M150" t="s">
        <v>1071</v>
      </c>
      <c r="N150" t="s">
        <v>753</v>
      </c>
    </row>
    <row r="151" spans="1:34" x14ac:dyDescent="0.25">
      <c r="A151" t="s">
        <v>240</v>
      </c>
      <c r="B151" t="s">
        <v>241</v>
      </c>
      <c r="C151" t="s">
        <v>1076</v>
      </c>
      <c r="D151" s="1">
        <v>45925</v>
      </c>
      <c r="E151">
        <v>9</v>
      </c>
      <c r="F151">
        <v>25</v>
      </c>
      <c r="G151">
        <v>2025</v>
      </c>
      <c r="H151">
        <v>268</v>
      </c>
      <c r="I151">
        <v>-73.349999999999994</v>
      </c>
      <c r="J151">
        <v>169.61</v>
      </c>
      <c r="K151" s="4">
        <v>29088.164213614102</v>
      </c>
      <c r="L151" s="6">
        <v>2917.7610452778099</v>
      </c>
      <c r="M151" t="s">
        <v>1071</v>
      </c>
      <c r="N151" t="s">
        <v>767</v>
      </c>
    </row>
    <row r="152" spans="1:34" x14ac:dyDescent="0.25">
      <c r="A152" t="s">
        <v>240</v>
      </c>
      <c r="B152" t="s">
        <v>241</v>
      </c>
      <c r="C152" t="s">
        <v>1076</v>
      </c>
      <c r="D152" s="1">
        <v>45925</v>
      </c>
      <c r="E152">
        <v>9</v>
      </c>
      <c r="F152">
        <v>25</v>
      </c>
      <c r="G152">
        <v>2025</v>
      </c>
      <c r="H152">
        <v>268</v>
      </c>
      <c r="I152">
        <v>-73.349999999999994</v>
      </c>
      <c r="J152">
        <v>169.61</v>
      </c>
      <c r="K152" s="4">
        <v>59705.8725646413</v>
      </c>
      <c r="L152" s="6">
        <v>5988.94683982489</v>
      </c>
      <c r="M152" t="s">
        <v>1071</v>
      </c>
      <c r="N152" t="s">
        <v>769</v>
      </c>
    </row>
    <row r="153" spans="1:34" x14ac:dyDescent="0.25">
      <c r="A153" t="s">
        <v>364</v>
      </c>
      <c r="B153" t="s">
        <v>365</v>
      </c>
      <c r="C153" t="s">
        <v>1076</v>
      </c>
      <c r="D153" s="1">
        <v>45940</v>
      </c>
      <c r="E153">
        <v>10</v>
      </c>
      <c r="F153">
        <v>10</v>
      </c>
      <c r="G153">
        <v>2025</v>
      </c>
      <c r="H153">
        <v>283</v>
      </c>
      <c r="I153">
        <v>-77.459999999999994</v>
      </c>
      <c r="J153">
        <v>169.32</v>
      </c>
      <c r="K153" s="6">
        <v>15571.724936475901</v>
      </c>
      <c r="L153" s="6">
        <v>1662.40745709719</v>
      </c>
      <c r="M153" t="s">
        <v>1071</v>
      </c>
    </row>
    <row r="154" spans="1:34" x14ac:dyDescent="0.25">
      <c r="A154" t="s">
        <v>451</v>
      </c>
      <c r="B154" t="s">
        <v>452</v>
      </c>
      <c r="C154" t="s">
        <v>1076</v>
      </c>
      <c r="D154" s="1">
        <v>45954</v>
      </c>
      <c r="E154">
        <v>10</v>
      </c>
      <c r="F154">
        <v>24</v>
      </c>
      <c r="G154">
        <v>2025</v>
      </c>
      <c r="H154">
        <v>297</v>
      </c>
      <c r="I154">
        <v>-76.180000000000007</v>
      </c>
      <c r="J154">
        <v>168.43</v>
      </c>
      <c r="K154" s="6">
        <v>14857.1292518354</v>
      </c>
      <c r="L154" s="6">
        <v>1432.4796890744101</v>
      </c>
      <c r="M154" t="s">
        <v>1071</v>
      </c>
    </row>
    <row r="155" spans="1:34" x14ac:dyDescent="0.25">
      <c r="A155" t="s">
        <v>538</v>
      </c>
      <c r="B155" t="s">
        <v>539</v>
      </c>
      <c r="C155" t="s">
        <v>1076</v>
      </c>
      <c r="D155" s="1">
        <v>45952</v>
      </c>
      <c r="E155">
        <v>10</v>
      </c>
      <c r="F155">
        <v>22</v>
      </c>
      <c r="G155">
        <v>2025</v>
      </c>
      <c r="H155">
        <v>295</v>
      </c>
      <c r="I155">
        <v>-71.989999999999995</v>
      </c>
      <c r="J155">
        <v>170.59</v>
      </c>
      <c r="K155" s="6">
        <v>21047.738580909601</v>
      </c>
      <c r="L155" s="6">
        <v>1843.9509106179</v>
      </c>
      <c r="M155" t="s">
        <v>1071</v>
      </c>
      <c r="P155" s="1"/>
      <c r="R155" s="2"/>
      <c r="AA155" s="6"/>
      <c r="AH155" s="6"/>
    </row>
    <row r="156" spans="1:34" x14ac:dyDescent="0.25">
      <c r="A156" t="s">
        <v>538</v>
      </c>
      <c r="B156" t="s">
        <v>539</v>
      </c>
      <c r="C156" t="s">
        <v>1076</v>
      </c>
      <c r="D156" s="1">
        <v>45576</v>
      </c>
      <c r="E156">
        <v>10</v>
      </c>
      <c r="F156">
        <v>11</v>
      </c>
      <c r="G156">
        <v>2024</v>
      </c>
      <c r="H156">
        <v>285</v>
      </c>
      <c r="I156">
        <v>-71.989999999999995</v>
      </c>
      <c r="J156">
        <v>170.59</v>
      </c>
      <c r="K156" s="6">
        <v>27025.461131918699</v>
      </c>
      <c r="L156" s="6">
        <v>2291.10923126333</v>
      </c>
      <c r="M156" t="s">
        <v>1071</v>
      </c>
      <c r="N156" s="1"/>
      <c r="P156" s="2"/>
    </row>
    <row r="157" spans="1:34" x14ac:dyDescent="0.25">
      <c r="A157" t="s">
        <v>623</v>
      </c>
      <c r="B157" t="s">
        <v>624</v>
      </c>
      <c r="C157" t="s">
        <v>1076</v>
      </c>
      <c r="D157" s="1">
        <v>45592</v>
      </c>
      <c r="E157">
        <v>10</v>
      </c>
      <c r="F157">
        <v>27</v>
      </c>
      <c r="G157">
        <v>2024</v>
      </c>
      <c r="H157">
        <v>301</v>
      </c>
      <c r="I157">
        <v>-74.64</v>
      </c>
      <c r="J157">
        <v>165.37</v>
      </c>
      <c r="K157" s="6">
        <v>46595.072714885602</v>
      </c>
      <c r="L157" s="6">
        <v>3317.9884023903001</v>
      </c>
      <c r="M157" t="s">
        <v>1071</v>
      </c>
    </row>
    <row r="158" spans="1:34" x14ac:dyDescent="0.25">
      <c r="A158" t="s">
        <v>623</v>
      </c>
      <c r="B158" t="s">
        <v>624</v>
      </c>
      <c r="C158" t="s">
        <v>1076</v>
      </c>
      <c r="D158" s="1">
        <v>45962</v>
      </c>
      <c r="E158">
        <v>11</v>
      </c>
      <c r="F158">
        <v>1</v>
      </c>
      <c r="G158">
        <v>2025</v>
      </c>
      <c r="H158">
        <v>305</v>
      </c>
      <c r="I158">
        <v>-74.64</v>
      </c>
      <c r="J158">
        <v>165.37</v>
      </c>
      <c r="K158" s="6">
        <v>31907.045011811399</v>
      </c>
      <c r="L158" s="6">
        <v>2685.7328438259501</v>
      </c>
      <c r="M158" t="s">
        <v>1071</v>
      </c>
    </row>
    <row r="160" spans="1:34" x14ac:dyDescent="0.25">
      <c r="E160" s="1"/>
      <c r="F160" s="3"/>
      <c r="K160" s="2"/>
      <c r="L160" s="1"/>
      <c r="N160" s="2"/>
    </row>
    <row r="161" spans="5:16" x14ac:dyDescent="0.25">
      <c r="E161" s="1"/>
      <c r="F161" s="3"/>
      <c r="K161" s="2"/>
      <c r="L161" s="1"/>
      <c r="N161" s="2"/>
    </row>
    <row r="164" spans="5:16" x14ac:dyDescent="0.25">
      <c r="G164" s="3"/>
      <c r="M164" s="2"/>
      <c r="N164" s="1"/>
      <c r="P164" s="2"/>
    </row>
    <row r="165" spans="5:16" x14ac:dyDescent="0.25">
      <c r="G165" s="3"/>
      <c r="M165" s="2"/>
      <c r="N165" s="1"/>
      <c r="P165" s="2"/>
    </row>
  </sheetData>
  <autoFilter ref="A1:AU1" xr:uid="{7B1A0D2B-4DC1-4917-B8F0-45E72FC1BE7E}">
    <sortState xmlns:xlrd2="http://schemas.microsoft.com/office/spreadsheetml/2017/richdata2" ref="A2:AU158">
      <sortCondition ref="M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opLeftCell="T1" workbookViewId="0">
      <selection activeCell="A57" sqref="A57:XFD278"/>
    </sheetView>
  </sheetViews>
  <sheetFormatPr defaultRowHeight="15" x14ac:dyDescent="0.25"/>
  <cols>
    <col min="40" max="40" width="9.140625" style="6"/>
    <col min="47" max="47" width="9.140625" style="6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1048</v>
      </c>
      <c r="O1" t="s">
        <v>1082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1083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932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1084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932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932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932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932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932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939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932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932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932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932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939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1084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932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932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932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939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932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932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932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939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932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932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932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939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932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932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932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939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E57" s="1"/>
      <c r="AA57" s="2"/>
      <c r="AB57" s="3"/>
      <c r="AD57" s="1"/>
      <c r="AE57" s="2"/>
    </row>
    <row r="58" spans="1:48" x14ac:dyDescent="0.25">
      <c r="E58" s="1"/>
      <c r="AA58" s="2"/>
      <c r="AB58" s="3"/>
      <c r="AD58" s="1"/>
      <c r="AE58" s="2"/>
    </row>
    <row r="59" spans="1:48" x14ac:dyDescent="0.25">
      <c r="E59" s="1"/>
      <c r="AA59" s="2"/>
      <c r="AB59" s="3"/>
      <c r="AD59" s="1"/>
      <c r="AE59" s="2"/>
    </row>
    <row r="60" spans="1:48" x14ac:dyDescent="0.25">
      <c r="E60" s="1"/>
      <c r="AA60" s="2"/>
      <c r="AB60" s="3"/>
      <c r="AD60" s="1"/>
      <c r="AE60" s="2"/>
    </row>
    <row r="61" spans="1:48" x14ac:dyDescent="0.25">
      <c r="E61" s="1"/>
      <c r="AA61" s="2"/>
      <c r="AB61" s="3"/>
      <c r="AD61" s="1"/>
      <c r="AE61" s="2"/>
    </row>
    <row r="62" spans="1:48" x14ac:dyDescent="0.25">
      <c r="E62" s="1"/>
      <c r="AA62" s="2"/>
      <c r="AB62" s="3"/>
      <c r="AD62" s="1"/>
      <c r="AE62" s="2"/>
    </row>
    <row r="63" spans="1:48" x14ac:dyDescent="0.25">
      <c r="E63" s="1"/>
      <c r="AA63" s="2"/>
      <c r="AB63" s="3"/>
      <c r="AD63" s="1"/>
      <c r="AE63" s="2"/>
    </row>
    <row r="64" spans="1:48" x14ac:dyDescent="0.25">
      <c r="E64" s="1"/>
      <c r="AA64" s="2"/>
      <c r="AB64" s="3"/>
      <c r="AD64" s="1"/>
      <c r="AE64" s="2"/>
    </row>
    <row r="65" spans="5:31" x14ac:dyDescent="0.25">
      <c r="E65" s="1"/>
      <c r="AA65" s="2"/>
      <c r="AB65" s="3"/>
      <c r="AD65" s="1"/>
      <c r="AE65" s="2"/>
    </row>
    <row r="66" spans="5:31" x14ac:dyDescent="0.25">
      <c r="E66" s="1"/>
      <c r="AA66" s="2"/>
      <c r="AB66" s="3"/>
      <c r="AD66" s="1"/>
      <c r="AE66" s="2"/>
    </row>
    <row r="67" spans="5:31" x14ac:dyDescent="0.25">
      <c r="E67" s="1"/>
      <c r="AA67" s="2"/>
      <c r="AB67" s="3"/>
      <c r="AD67" s="1"/>
      <c r="AE67" s="2"/>
    </row>
    <row r="68" spans="5:31" x14ac:dyDescent="0.25">
      <c r="E68" s="1"/>
      <c r="AA68" s="2"/>
      <c r="AB68" s="3"/>
      <c r="AD68" s="1"/>
      <c r="AE68" s="2"/>
    </row>
    <row r="69" spans="5:31" x14ac:dyDescent="0.25">
      <c r="E69" s="1"/>
      <c r="AA69" s="2"/>
      <c r="AB69" s="3"/>
      <c r="AD69" s="1"/>
      <c r="AE69" s="2"/>
    </row>
    <row r="70" spans="5:31" x14ac:dyDescent="0.25">
      <c r="E70" s="1"/>
      <c r="AA70" s="2"/>
      <c r="AB70" s="3"/>
      <c r="AD70" s="1"/>
      <c r="AE70" s="2"/>
    </row>
    <row r="71" spans="5:31" x14ac:dyDescent="0.25">
      <c r="E71" s="1"/>
      <c r="AA71" s="2"/>
      <c r="AB71" s="3"/>
      <c r="AD71" s="1"/>
      <c r="AE71" s="2"/>
    </row>
    <row r="72" spans="5:31" x14ac:dyDescent="0.25">
      <c r="E72" s="1"/>
      <c r="AA72" s="2"/>
      <c r="AB72" s="3"/>
      <c r="AD72" s="1"/>
      <c r="AE72" s="2"/>
    </row>
    <row r="73" spans="5:31" x14ac:dyDescent="0.25">
      <c r="E73" s="1"/>
      <c r="AA73" s="2"/>
      <c r="AB73" s="3"/>
      <c r="AD73" s="1"/>
      <c r="AE73" s="2"/>
    </row>
    <row r="74" spans="5:31" x14ac:dyDescent="0.25">
      <c r="E74" s="1"/>
      <c r="AA74" s="2"/>
      <c r="AB74" s="3"/>
      <c r="AD74" s="1"/>
      <c r="AE74" s="2"/>
    </row>
    <row r="75" spans="5:31" x14ac:dyDescent="0.25">
      <c r="E75" s="1"/>
      <c r="AA75" s="2"/>
      <c r="AB75" s="3"/>
      <c r="AD75" s="1"/>
      <c r="AE75" s="2"/>
    </row>
    <row r="76" spans="5:31" x14ac:dyDescent="0.25">
      <c r="E76" s="1"/>
      <c r="AA76" s="2"/>
      <c r="AB76" s="3"/>
      <c r="AD76" s="1"/>
      <c r="AE76" s="2"/>
    </row>
    <row r="77" spans="5:31" x14ac:dyDescent="0.25">
      <c r="E77" s="1"/>
      <c r="AA77" s="2"/>
      <c r="AB77" s="3"/>
      <c r="AD77" s="1"/>
      <c r="AE77" s="2"/>
    </row>
    <row r="78" spans="5:31" x14ac:dyDescent="0.25">
      <c r="E78" s="1"/>
      <c r="AA78" s="2"/>
      <c r="AB78" s="3"/>
      <c r="AD78" s="1"/>
      <c r="AE78" s="2"/>
    </row>
    <row r="79" spans="5:31" x14ac:dyDescent="0.25">
      <c r="E79" s="1"/>
      <c r="AA79" s="2"/>
      <c r="AB79" s="3"/>
      <c r="AD79" s="1"/>
      <c r="AE79" s="2"/>
    </row>
    <row r="80" spans="5:31" x14ac:dyDescent="0.25">
      <c r="E80" s="1"/>
      <c r="AA80" s="2"/>
      <c r="AB80" s="3"/>
      <c r="AD80" s="1"/>
      <c r="AE80" s="2"/>
    </row>
    <row r="81" spans="5:31" x14ac:dyDescent="0.25">
      <c r="E81" s="1"/>
      <c r="AA81" s="2"/>
      <c r="AB81" s="3"/>
      <c r="AD81" s="1"/>
      <c r="AE81" s="2"/>
    </row>
    <row r="82" spans="5:31" x14ac:dyDescent="0.25">
      <c r="E82" s="1"/>
      <c r="AA82" s="2"/>
      <c r="AB82" s="3"/>
      <c r="AD82" s="1"/>
      <c r="AE82" s="2"/>
    </row>
    <row r="83" spans="5:31" x14ac:dyDescent="0.25">
      <c r="E83" s="1"/>
      <c r="AA83" s="2"/>
      <c r="AB83" s="3"/>
      <c r="AD83" s="1"/>
      <c r="AE83" s="2"/>
    </row>
    <row r="84" spans="5:31" x14ac:dyDescent="0.25">
      <c r="E84" s="1"/>
      <c r="AA84" s="2"/>
      <c r="AB84" s="3"/>
      <c r="AD84" s="1"/>
      <c r="AE84" s="2"/>
    </row>
    <row r="85" spans="5:31" x14ac:dyDescent="0.25">
      <c r="E85" s="1"/>
      <c r="AA85" s="2"/>
      <c r="AB85" s="3"/>
      <c r="AD85" s="1"/>
      <c r="AE85" s="2"/>
    </row>
    <row r="86" spans="5:31" x14ac:dyDescent="0.25">
      <c r="E86" s="1"/>
      <c r="AA86" s="2"/>
      <c r="AB86" s="3"/>
      <c r="AD86" s="1"/>
      <c r="AE86" s="2"/>
    </row>
    <row r="87" spans="5:31" x14ac:dyDescent="0.25">
      <c r="E87" s="1"/>
      <c r="AA87" s="2"/>
      <c r="AB87" s="3"/>
      <c r="AD87" s="1"/>
      <c r="AE87" s="2"/>
    </row>
    <row r="88" spans="5:31" x14ac:dyDescent="0.25">
      <c r="E88" s="1"/>
      <c r="AA88" s="2"/>
      <c r="AB88" s="3"/>
      <c r="AD88" s="1"/>
      <c r="AE88" s="2"/>
    </row>
    <row r="89" spans="5:31" x14ac:dyDescent="0.25">
      <c r="E89" s="1"/>
      <c r="AA89" s="2"/>
      <c r="AB89" s="3"/>
      <c r="AD89" s="1"/>
      <c r="AE89" s="2"/>
    </row>
    <row r="90" spans="5:31" x14ac:dyDescent="0.25">
      <c r="E90" s="1"/>
      <c r="AA90" s="2"/>
      <c r="AB90" s="3"/>
      <c r="AD90" s="1"/>
      <c r="AE90" s="2"/>
    </row>
    <row r="91" spans="5:31" x14ac:dyDescent="0.25">
      <c r="E91" s="1"/>
      <c r="AA91" s="2"/>
      <c r="AB91" s="3"/>
      <c r="AD91" s="1"/>
      <c r="AE91" s="2"/>
    </row>
    <row r="92" spans="5:31" x14ac:dyDescent="0.25">
      <c r="E92" s="1"/>
      <c r="AA92" s="2"/>
      <c r="AB92" s="3"/>
      <c r="AD92" s="1"/>
      <c r="AE92" s="2"/>
    </row>
    <row r="93" spans="5:31" x14ac:dyDescent="0.25">
      <c r="E93" s="1"/>
      <c r="AA93" s="2"/>
      <c r="AB93" s="3"/>
      <c r="AD93" s="1"/>
      <c r="AE93" s="2"/>
    </row>
    <row r="94" spans="5:31" x14ac:dyDescent="0.25">
      <c r="E94" s="1"/>
      <c r="AA94" s="2"/>
      <c r="AB94" s="3"/>
      <c r="AD94" s="1"/>
      <c r="AE94" s="2"/>
    </row>
    <row r="95" spans="5:31" x14ac:dyDescent="0.25">
      <c r="E95" s="1"/>
      <c r="AA95" s="2"/>
      <c r="AB95" s="3"/>
      <c r="AD95" s="1"/>
      <c r="AE95" s="2"/>
    </row>
    <row r="96" spans="5:31" x14ac:dyDescent="0.25">
      <c r="E96" s="1"/>
      <c r="AA96" s="2"/>
      <c r="AB96" s="3"/>
      <c r="AD96" s="1"/>
      <c r="AE96" s="2"/>
    </row>
    <row r="97" spans="5:31" x14ac:dyDescent="0.25">
      <c r="E97" s="1"/>
      <c r="AA97" s="2"/>
      <c r="AB97" s="3"/>
      <c r="AD97" s="1"/>
      <c r="AE97" s="2"/>
    </row>
    <row r="98" spans="5:31" x14ac:dyDescent="0.25">
      <c r="E98" s="1"/>
      <c r="AA98" s="2"/>
      <c r="AB98" s="3"/>
      <c r="AD98" s="1"/>
      <c r="AE98" s="2"/>
    </row>
    <row r="99" spans="5:31" x14ac:dyDescent="0.25">
      <c r="E99" s="1"/>
      <c r="AA99" s="2"/>
      <c r="AB99" s="3"/>
      <c r="AD99" s="1"/>
      <c r="AE99" s="2"/>
    </row>
    <row r="100" spans="5:31" x14ac:dyDescent="0.25">
      <c r="E100" s="1"/>
      <c r="AA100" s="2"/>
      <c r="AB100" s="3"/>
      <c r="AD100" s="1"/>
      <c r="AE100" s="2"/>
    </row>
    <row r="101" spans="5:31" x14ac:dyDescent="0.25">
      <c r="E101" s="1"/>
      <c r="AA101" s="2"/>
      <c r="AB101" s="3"/>
      <c r="AD101" s="1"/>
      <c r="AE101" s="2"/>
    </row>
    <row r="102" spans="5:31" x14ac:dyDescent="0.25">
      <c r="E102" s="1"/>
      <c r="AA102" s="2"/>
      <c r="AB102" s="3"/>
      <c r="AD102" s="1"/>
      <c r="AE102" s="2"/>
    </row>
    <row r="103" spans="5:31" x14ac:dyDescent="0.25">
      <c r="E103" s="1"/>
      <c r="AA103" s="2"/>
      <c r="AB103" s="3"/>
      <c r="AD103" s="1"/>
      <c r="AE103" s="2"/>
    </row>
    <row r="104" spans="5:31" x14ac:dyDescent="0.25">
      <c r="E104" s="1"/>
      <c r="AA104" s="2"/>
      <c r="AB104" s="3"/>
      <c r="AD104" s="1"/>
      <c r="AE104" s="2"/>
    </row>
    <row r="105" spans="5:31" x14ac:dyDescent="0.25">
      <c r="E105" s="1"/>
      <c r="AA105" s="2"/>
      <c r="AB105" s="3"/>
      <c r="AD105" s="1"/>
      <c r="AE105" s="2"/>
    </row>
    <row r="106" spans="5:31" x14ac:dyDescent="0.25">
      <c r="E106" s="1"/>
      <c r="AA106" s="2"/>
      <c r="AB106" s="3"/>
      <c r="AD106" s="1"/>
      <c r="AE106" s="2"/>
    </row>
    <row r="107" spans="5:31" x14ac:dyDescent="0.25">
      <c r="E107" s="1"/>
      <c r="AA107" s="2"/>
      <c r="AB107" s="3"/>
      <c r="AD107" s="1"/>
      <c r="AE107" s="2"/>
    </row>
    <row r="108" spans="5:31" x14ac:dyDescent="0.25">
      <c r="E108" s="1"/>
      <c r="AA108" s="2"/>
      <c r="AB108" s="3"/>
      <c r="AD108" s="1"/>
      <c r="AE108" s="2"/>
    </row>
    <row r="109" spans="5:31" x14ac:dyDescent="0.25">
      <c r="E109" s="1"/>
      <c r="AA109" s="2"/>
      <c r="AB109" s="3"/>
      <c r="AD109" s="1"/>
      <c r="AE109" s="2"/>
    </row>
    <row r="110" spans="5:31" x14ac:dyDescent="0.25">
      <c r="E110" s="1"/>
      <c r="AA110" s="2"/>
      <c r="AB110" s="3"/>
      <c r="AD110" s="1"/>
      <c r="AE110" s="2"/>
    </row>
    <row r="111" spans="5:31" x14ac:dyDescent="0.25">
      <c r="E111" s="1"/>
      <c r="AA111" s="2"/>
      <c r="AB111" s="3"/>
      <c r="AD111" s="1"/>
      <c r="AE111" s="2"/>
    </row>
    <row r="112" spans="5:31" x14ac:dyDescent="0.25">
      <c r="E112" s="1"/>
      <c r="AA112" s="2"/>
      <c r="AB112" s="3"/>
      <c r="AD112" s="1"/>
      <c r="AE112" s="2"/>
    </row>
    <row r="113" spans="5:31" x14ac:dyDescent="0.25">
      <c r="E113" s="1"/>
      <c r="AA113" s="2"/>
      <c r="AB113" s="3"/>
      <c r="AD113" s="1"/>
      <c r="AE113" s="2"/>
    </row>
    <row r="114" spans="5:31" x14ac:dyDescent="0.25">
      <c r="E114" s="1"/>
      <c r="AA114" s="2"/>
      <c r="AB114" s="3"/>
      <c r="AD114" s="1"/>
      <c r="AE114" s="2"/>
    </row>
    <row r="115" spans="5:31" x14ac:dyDescent="0.25">
      <c r="E115" s="1"/>
      <c r="AA115" s="2"/>
      <c r="AB115" s="3"/>
      <c r="AD115" s="1"/>
      <c r="AE115" s="2"/>
    </row>
    <row r="116" spans="5:31" x14ac:dyDescent="0.25">
      <c r="E116" s="1"/>
      <c r="AA116" s="2"/>
      <c r="AB116" s="3"/>
      <c r="AD116" s="1"/>
      <c r="AE116" s="2"/>
    </row>
    <row r="117" spans="5:31" x14ac:dyDescent="0.25">
      <c r="E117" s="1"/>
      <c r="AA117" s="2"/>
      <c r="AB117" s="3"/>
      <c r="AD117" s="1"/>
      <c r="AE117" s="2"/>
    </row>
    <row r="118" spans="5:31" x14ac:dyDescent="0.25">
      <c r="E118" s="1"/>
      <c r="AA118" s="2"/>
      <c r="AB118" s="3"/>
      <c r="AD118" s="1"/>
      <c r="AE118" s="2"/>
    </row>
    <row r="119" spans="5:31" x14ac:dyDescent="0.25">
      <c r="E119" s="1"/>
      <c r="AA119" s="2"/>
      <c r="AB119" s="3"/>
      <c r="AD119" s="1"/>
      <c r="AE119" s="2"/>
    </row>
    <row r="120" spans="5:31" x14ac:dyDescent="0.25">
      <c r="E120" s="1"/>
      <c r="AA120" s="2"/>
      <c r="AB120" s="3"/>
      <c r="AD120" s="1"/>
      <c r="AE120" s="2"/>
    </row>
    <row r="121" spans="5:31" x14ac:dyDescent="0.25">
      <c r="E121" s="1"/>
      <c r="AA121" s="2"/>
      <c r="AB121" s="3"/>
      <c r="AD121" s="1"/>
      <c r="AE121" s="2"/>
    </row>
    <row r="122" spans="5:31" x14ac:dyDescent="0.25">
      <c r="E122" s="1"/>
      <c r="AA122" s="2"/>
      <c r="AB122" s="3"/>
      <c r="AD122" s="1"/>
      <c r="AE122" s="2"/>
    </row>
    <row r="123" spans="5:31" x14ac:dyDescent="0.25">
      <c r="E123" s="1"/>
      <c r="AA123" s="2"/>
      <c r="AB123" s="3"/>
      <c r="AD123" s="1"/>
      <c r="AE123" s="2"/>
    </row>
    <row r="124" spans="5:31" x14ac:dyDescent="0.25">
      <c r="E124" s="1"/>
      <c r="AA124" s="2"/>
      <c r="AB124" s="3"/>
      <c r="AD124" s="1"/>
      <c r="AE124" s="2"/>
    </row>
    <row r="125" spans="5:31" x14ac:dyDescent="0.25">
      <c r="E125" s="1"/>
      <c r="AA125" s="2"/>
      <c r="AB125" s="3"/>
      <c r="AD125" s="1"/>
      <c r="AE125" s="2"/>
    </row>
    <row r="126" spans="5:31" x14ac:dyDescent="0.25">
      <c r="E126" s="1"/>
      <c r="AA126" s="2"/>
      <c r="AB126" s="3"/>
      <c r="AD126" s="1"/>
      <c r="AE126" s="2"/>
    </row>
    <row r="127" spans="5:31" x14ac:dyDescent="0.25">
      <c r="E127" s="1"/>
      <c r="AA127" s="2"/>
      <c r="AB127" s="3"/>
      <c r="AD127" s="1"/>
      <c r="AE127" s="2"/>
    </row>
    <row r="128" spans="5:31" x14ac:dyDescent="0.25">
      <c r="E128" s="1"/>
      <c r="AA128" s="2"/>
      <c r="AB128" s="3"/>
      <c r="AD128" s="1"/>
      <c r="AE128" s="2"/>
    </row>
    <row r="129" spans="5:31" x14ac:dyDescent="0.25">
      <c r="E129" s="1"/>
      <c r="AA129" s="2"/>
      <c r="AB129" s="3"/>
      <c r="AD129" s="1"/>
      <c r="AE129" s="2"/>
    </row>
    <row r="130" spans="5:31" x14ac:dyDescent="0.25">
      <c r="E130" s="1"/>
      <c r="AA130" s="2"/>
      <c r="AB130" s="3"/>
      <c r="AD130" s="1"/>
      <c r="AE130" s="2"/>
    </row>
    <row r="131" spans="5:31" x14ac:dyDescent="0.25">
      <c r="E131" s="1"/>
      <c r="AA131" s="2"/>
      <c r="AB131" s="3"/>
      <c r="AD131" s="1"/>
      <c r="AE131" s="2"/>
    </row>
    <row r="132" spans="5:31" x14ac:dyDescent="0.25">
      <c r="E132" s="1"/>
      <c r="AA132" s="2"/>
      <c r="AB132" s="3"/>
      <c r="AD132" s="1"/>
      <c r="AE132" s="2"/>
    </row>
    <row r="133" spans="5:31" x14ac:dyDescent="0.25">
      <c r="E133" s="1"/>
      <c r="AA133" s="2"/>
      <c r="AB133" s="3"/>
      <c r="AD133" s="1"/>
      <c r="AE133" s="2"/>
    </row>
    <row r="134" spans="5:31" x14ac:dyDescent="0.25">
      <c r="E134" s="1"/>
      <c r="AA134" s="2"/>
      <c r="AB134" s="3"/>
      <c r="AD134" s="1"/>
      <c r="AE134" s="2"/>
    </row>
    <row r="135" spans="5:31" x14ac:dyDescent="0.25">
      <c r="E135" s="1"/>
      <c r="AA135" s="2"/>
      <c r="AB135" s="3"/>
      <c r="AD135" s="1"/>
      <c r="AE135" s="2"/>
    </row>
    <row r="136" spans="5:31" x14ac:dyDescent="0.25">
      <c r="E136" s="1"/>
      <c r="AA136" s="2"/>
      <c r="AB136" s="3"/>
      <c r="AD136" s="1"/>
      <c r="AE136" s="2"/>
    </row>
    <row r="137" spans="5:31" x14ac:dyDescent="0.25">
      <c r="E137" s="1"/>
      <c r="AA137" s="2"/>
      <c r="AB137" s="3"/>
      <c r="AD137" s="1"/>
      <c r="AE137" s="2"/>
    </row>
    <row r="138" spans="5:31" x14ac:dyDescent="0.25">
      <c r="E138" s="1"/>
      <c r="AA138" s="2"/>
      <c r="AB138" s="3"/>
      <c r="AD138" s="1"/>
      <c r="AE138" s="2"/>
    </row>
    <row r="139" spans="5:31" x14ac:dyDescent="0.25">
      <c r="E139" s="1"/>
      <c r="AA139" s="2"/>
      <c r="AB139" s="3"/>
      <c r="AD139" s="1"/>
      <c r="AE139" s="2"/>
    </row>
    <row r="140" spans="5:31" x14ac:dyDescent="0.25">
      <c r="E140" s="1"/>
      <c r="AA140" s="2"/>
      <c r="AB140" s="3"/>
      <c r="AD140" s="1"/>
      <c r="AE140" s="2"/>
    </row>
    <row r="141" spans="5:31" x14ac:dyDescent="0.25">
      <c r="E141" s="1"/>
      <c r="AA141" s="2"/>
      <c r="AB141" s="3"/>
      <c r="AD141" s="1"/>
      <c r="AE141" s="2"/>
    </row>
    <row r="142" spans="5:31" x14ac:dyDescent="0.25">
      <c r="E142" s="1"/>
      <c r="AA142" s="2"/>
      <c r="AB142" s="3"/>
      <c r="AD142" s="1"/>
      <c r="AE142" s="2"/>
    </row>
    <row r="143" spans="5:31" x14ac:dyDescent="0.25">
      <c r="E143" s="1"/>
      <c r="AA143" s="2"/>
      <c r="AB143" s="3"/>
      <c r="AD143" s="1"/>
      <c r="AE143" s="2"/>
    </row>
    <row r="144" spans="5:31" x14ac:dyDescent="0.25">
      <c r="E144" s="1"/>
      <c r="AA144" s="2"/>
      <c r="AB144" s="3"/>
      <c r="AD144" s="1"/>
      <c r="AE144" s="2"/>
    </row>
    <row r="145" spans="5:31" x14ac:dyDescent="0.25">
      <c r="E145" s="1"/>
      <c r="AA145" s="2"/>
      <c r="AB145" s="3"/>
      <c r="AD145" s="1"/>
      <c r="AE145" s="2"/>
    </row>
    <row r="146" spans="5:31" x14ac:dyDescent="0.25">
      <c r="E146" s="1"/>
      <c r="AA146" s="2"/>
      <c r="AB146" s="3"/>
      <c r="AD146" s="1"/>
      <c r="AE146" s="2"/>
    </row>
    <row r="147" spans="5:31" x14ac:dyDescent="0.25">
      <c r="E147" s="1"/>
      <c r="AA147" s="2"/>
      <c r="AB147" s="3"/>
      <c r="AD147" s="1"/>
      <c r="AE147" s="2"/>
    </row>
    <row r="148" spans="5:31" x14ac:dyDescent="0.25">
      <c r="E148" s="1"/>
      <c r="AA148" s="2"/>
      <c r="AB148" s="3"/>
      <c r="AD148" s="1"/>
      <c r="AE148" s="2"/>
    </row>
    <row r="149" spans="5:31" x14ac:dyDescent="0.25">
      <c r="E149" s="1"/>
      <c r="AA149" s="2"/>
      <c r="AB149" s="3"/>
      <c r="AD149" s="1"/>
      <c r="AE149" s="2"/>
    </row>
    <row r="150" spans="5:31" x14ac:dyDescent="0.25">
      <c r="E150" s="1"/>
      <c r="AA150" s="2"/>
      <c r="AB150" s="3"/>
      <c r="AD150" s="1"/>
      <c r="AE150" s="2"/>
    </row>
    <row r="151" spans="5:31" x14ac:dyDescent="0.25">
      <c r="E151" s="1"/>
      <c r="AA151" s="2"/>
      <c r="AB151" s="3"/>
      <c r="AD151" s="1"/>
      <c r="AE151" s="2"/>
    </row>
    <row r="152" spans="5:31" x14ac:dyDescent="0.25">
      <c r="E152" s="1"/>
      <c r="AA152" s="2"/>
      <c r="AB152" s="3"/>
      <c r="AD152" s="1"/>
      <c r="AE152" s="2"/>
    </row>
    <row r="153" spans="5:31" x14ac:dyDescent="0.25">
      <c r="E153" s="1"/>
      <c r="AA153" s="2"/>
      <c r="AB153" s="3"/>
      <c r="AD153" s="1"/>
      <c r="AE153" s="2"/>
    </row>
    <row r="154" spans="5:31" x14ac:dyDescent="0.25">
      <c r="E154" s="1"/>
      <c r="AA154" s="2"/>
      <c r="AB154" s="3"/>
      <c r="AD154" s="1"/>
      <c r="AE154" s="2"/>
    </row>
    <row r="155" spans="5:31" x14ac:dyDescent="0.25">
      <c r="E155" s="1"/>
      <c r="AA155" s="2"/>
      <c r="AB155" s="3"/>
      <c r="AD155" s="1"/>
      <c r="AE155" s="2"/>
    </row>
    <row r="156" spans="5:31" x14ac:dyDescent="0.25">
      <c r="E156" s="1"/>
      <c r="AA156" s="2"/>
      <c r="AB156" s="3"/>
      <c r="AD156" s="1"/>
      <c r="AE156" s="2"/>
    </row>
    <row r="157" spans="5:31" x14ac:dyDescent="0.25">
      <c r="E157" s="1"/>
      <c r="AA157" s="2"/>
      <c r="AB157" s="3"/>
      <c r="AD157" s="1"/>
      <c r="AE157" s="2"/>
    </row>
    <row r="158" spans="5:31" x14ac:dyDescent="0.25">
      <c r="E158" s="1"/>
      <c r="AA158" s="2"/>
      <c r="AB158" s="3"/>
      <c r="AD158" s="1"/>
      <c r="AE158" s="2"/>
    </row>
    <row r="159" spans="5:31" x14ac:dyDescent="0.25">
      <c r="E159" s="1"/>
      <c r="AA159" s="2"/>
      <c r="AB159" s="3"/>
      <c r="AD159" s="1"/>
      <c r="AE159" s="2"/>
    </row>
    <row r="160" spans="5:31" x14ac:dyDescent="0.25">
      <c r="E160" s="1"/>
      <c r="AA160" s="2"/>
      <c r="AB160" s="3"/>
      <c r="AD160" s="1"/>
      <c r="AE160" s="2"/>
    </row>
    <row r="161" spans="5:31" x14ac:dyDescent="0.25">
      <c r="E161" s="1"/>
      <c r="AA161" s="2"/>
      <c r="AB161" s="3"/>
      <c r="AD161" s="1"/>
      <c r="AE161" s="2"/>
    </row>
    <row r="162" spans="5:31" x14ac:dyDescent="0.25">
      <c r="E162" s="1"/>
      <c r="AA162" s="2"/>
      <c r="AB162" s="3"/>
      <c r="AD162" s="1"/>
      <c r="AE162" s="2"/>
    </row>
    <row r="163" spans="5:31" x14ac:dyDescent="0.25">
      <c r="E163" s="1"/>
      <c r="AA163" s="2"/>
      <c r="AB163" s="3"/>
      <c r="AD163" s="1"/>
      <c r="AE163" s="2"/>
    </row>
    <row r="164" spans="5:31" x14ac:dyDescent="0.25">
      <c r="E164" s="1"/>
      <c r="AA164" s="2"/>
      <c r="AB164" s="3"/>
      <c r="AD164" s="1"/>
      <c r="AE164" s="2"/>
    </row>
    <row r="165" spans="5:31" x14ac:dyDescent="0.25">
      <c r="E165" s="1"/>
      <c r="AA165" s="2"/>
      <c r="AB165" s="3"/>
      <c r="AD165" s="1"/>
      <c r="AE165" s="2"/>
    </row>
    <row r="166" spans="5:31" x14ac:dyDescent="0.25">
      <c r="E166" s="1"/>
      <c r="AA166" s="2"/>
      <c r="AB166" s="3"/>
      <c r="AD166" s="1"/>
      <c r="AE166" s="2"/>
    </row>
    <row r="167" spans="5:31" x14ac:dyDescent="0.25">
      <c r="E167" s="1"/>
      <c r="AA167" s="2"/>
      <c r="AB167" s="3"/>
      <c r="AD167" s="1"/>
      <c r="AE167" s="2"/>
    </row>
    <row r="168" spans="5:31" x14ac:dyDescent="0.25">
      <c r="E168" s="1"/>
      <c r="AA168" s="2"/>
      <c r="AB168" s="3"/>
      <c r="AD168" s="1"/>
      <c r="AE168" s="2"/>
    </row>
    <row r="169" spans="5:31" x14ac:dyDescent="0.25">
      <c r="E169" s="1"/>
      <c r="AA169" s="2"/>
      <c r="AB169" s="3"/>
      <c r="AD169" s="1"/>
      <c r="AE169" s="2"/>
    </row>
    <row r="170" spans="5:31" x14ac:dyDescent="0.25">
      <c r="E170" s="1"/>
      <c r="AA170" s="2"/>
      <c r="AB170" s="3"/>
      <c r="AD170" s="1"/>
      <c r="AE170" s="2"/>
    </row>
    <row r="171" spans="5:31" x14ac:dyDescent="0.25">
      <c r="E171" s="1"/>
      <c r="AA171" s="2"/>
      <c r="AB171" s="3"/>
      <c r="AD171" s="1"/>
      <c r="AE171" s="2"/>
    </row>
    <row r="172" spans="5:31" x14ac:dyDescent="0.25">
      <c r="E172" s="1"/>
      <c r="AA172" s="2"/>
      <c r="AB172" s="3"/>
      <c r="AD172" s="1"/>
      <c r="AE172" s="2"/>
    </row>
    <row r="173" spans="5:31" x14ac:dyDescent="0.25">
      <c r="E173" s="1"/>
      <c r="AA173" s="2"/>
      <c r="AB173" s="3"/>
      <c r="AD173" s="1"/>
      <c r="AE173" s="2"/>
    </row>
    <row r="174" spans="5:31" x14ac:dyDescent="0.25">
      <c r="E174" s="1"/>
      <c r="AA174" s="2"/>
      <c r="AB174" s="3"/>
      <c r="AD174" s="1"/>
      <c r="AE174" s="2"/>
    </row>
    <row r="175" spans="5:31" x14ac:dyDescent="0.25">
      <c r="E175" s="1"/>
      <c r="AA175" s="2"/>
      <c r="AB175" s="3"/>
      <c r="AD175" s="1"/>
      <c r="AE175" s="2"/>
    </row>
    <row r="176" spans="5:31" x14ac:dyDescent="0.25">
      <c r="E176" s="1"/>
      <c r="AA176" s="2"/>
      <c r="AB176" s="3"/>
      <c r="AD176" s="1"/>
      <c r="AE176" s="2"/>
    </row>
    <row r="177" spans="5:31" x14ac:dyDescent="0.25">
      <c r="E177" s="1"/>
      <c r="AA177" s="2"/>
      <c r="AB177" s="3"/>
      <c r="AD177" s="1"/>
      <c r="AE177" s="2"/>
    </row>
    <row r="178" spans="5:31" x14ac:dyDescent="0.25">
      <c r="E178" s="1"/>
      <c r="AA178" s="2"/>
      <c r="AB178" s="3"/>
      <c r="AD178" s="1"/>
      <c r="AE178" s="2"/>
    </row>
    <row r="179" spans="5:31" x14ac:dyDescent="0.25">
      <c r="E179" s="1"/>
      <c r="AA179" s="2"/>
      <c r="AB179" s="3"/>
      <c r="AD179" s="1"/>
      <c r="AE179" s="2"/>
    </row>
    <row r="180" spans="5:31" x14ac:dyDescent="0.25">
      <c r="E180" s="1"/>
      <c r="AA180" s="2"/>
      <c r="AB180" s="3"/>
      <c r="AD180" s="1"/>
      <c r="AE180" s="2"/>
    </row>
    <row r="181" spans="5:31" x14ac:dyDescent="0.25">
      <c r="E181" s="1"/>
      <c r="AA181" s="2"/>
      <c r="AB181" s="3"/>
      <c r="AD181" s="1"/>
      <c r="AE181" s="2"/>
    </row>
    <row r="182" spans="5:31" x14ac:dyDescent="0.25">
      <c r="E182" s="1"/>
      <c r="AA182" s="2"/>
      <c r="AB182" s="3"/>
      <c r="AD182" s="1"/>
      <c r="AE182" s="2"/>
    </row>
    <row r="183" spans="5:31" x14ac:dyDescent="0.25">
      <c r="E183" s="1"/>
      <c r="AA183" s="2"/>
      <c r="AB183" s="3"/>
      <c r="AD183" s="1"/>
      <c r="AE183" s="2"/>
    </row>
    <row r="184" spans="5:31" x14ac:dyDescent="0.25">
      <c r="E184" s="1"/>
      <c r="AA184" s="2"/>
      <c r="AB184" s="3"/>
      <c r="AD184" s="1"/>
      <c r="AE184" s="2"/>
    </row>
    <row r="185" spans="5:31" x14ac:dyDescent="0.25">
      <c r="E185" s="1"/>
      <c r="AA185" s="2"/>
      <c r="AB185" s="3"/>
      <c r="AD185" s="1"/>
      <c r="AE185" s="2"/>
    </row>
    <row r="186" spans="5:31" x14ac:dyDescent="0.25">
      <c r="E186" s="1"/>
      <c r="AA186" s="2"/>
      <c r="AB186" s="3"/>
      <c r="AD186" s="1"/>
      <c r="AE186" s="2"/>
    </row>
    <row r="187" spans="5:31" x14ac:dyDescent="0.25">
      <c r="E187" s="1"/>
      <c r="AA187" s="2"/>
      <c r="AB187" s="3"/>
      <c r="AD187" s="1"/>
      <c r="AE187" s="2"/>
    </row>
    <row r="188" spans="5:31" x14ac:dyDescent="0.25">
      <c r="E188" s="1"/>
      <c r="AA188" s="2"/>
      <c r="AB188" s="3"/>
      <c r="AD188" s="1"/>
      <c r="AE188" s="2"/>
    </row>
    <row r="189" spans="5:31" x14ac:dyDescent="0.25">
      <c r="E189" s="1"/>
      <c r="AA189" s="2"/>
      <c r="AB189" s="3"/>
      <c r="AD189" s="1"/>
      <c r="AE189" s="2"/>
    </row>
    <row r="190" spans="5:31" x14ac:dyDescent="0.25">
      <c r="E190" s="1"/>
      <c r="AA190" s="2"/>
      <c r="AB190" s="3"/>
      <c r="AD190" s="1"/>
      <c r="AE190" s="2"/>
    </row>
    <row r="191" spans="5:31" x14ac:dyDescent="0.25">
      <c r="E191" s="1"/>
      <c r="AA191" s="2"/>
      <c r="AB191" s="3"/>
      <c r="AD191" s="1"/>
      <c r="AE191" s="2"/>
    </row>
    <row r="192" spans="5:31" x14ac:dyDescent="0.25">
      <c r="E192" s="1"/>
      <c r="AA192" s="2"/>
      <c r="AB192" s="3"/>
      <c r="AD192" s="1"/>
      <c r="AE192" s="2"/>
    </row>
    <row r="193" spans="5:31" x14ac:dyDescent="0.25">
      <c r="E193" s="1"/>
      <c r="AA193" s="2"/>
      <c r="AB193" s="3"/>
      <c r="AD193" s="1"/>
      <c r="AE193" s="2"/>
    </row>
    <row r="194" spans="5:31" x14ac:dyDescent="0.25">
      <c r="E194" s="1"/>
      <c r="AA194" s="2"/>
      <c r="AB194" s="3"/>
      <c r="AD194" s="1"/>
      <c r="AE194" s="2"/>
    </row>
    <row r="195" spans="5:31" x14ac:dyDescent="0.25">
      <c r="E195" s="1"/>
      <c r="AA195" s="2"/>
      <c r="AB195" s="3"/>
      <c r="AD195" s="1"/>
      <c r="AE195" s="2"/>
    </row>
    <row r="196" spans="5:31" x14ac:dyDescent="0.25">
      <c r="E196" s="1"/>
      <c r="AA196" s="2"/>
      <c r="AB196" s="3"/>
      <c r="AD196" s="1"/>
      <c r="AE196" s="2"/>
    </row>
    <row r="197" spans="5:31" x14ac:dyDescent="0.25">
      <c r="E197" s="1"/>
      <c r="AA197" s="2"/>
      <c r="AB197" s="3"/>
      <c r="AD197" s="1"/>
      <c r="AE197" s="2"/>
    </row>
    <row r="198" spans="5:31" x14ac:dyDescent="0.25">
      <c r="E198" s="1"/>
      <c r="AA198" s="2"/>
      <c r="AB198" s="3"/>
      <c r="AD198" s="1"/>
      <c r="AE198" s="2"/>
    </row>
    <row r="199" spans="5:31" x14ac:dyDescent="0.25">
      <c r="E199" s="1"/>
      <c r="AA199" s="2"/>
      <c r="AB199" s="3"/>
      <c r="AD199" s="1"/>
      <c r="AE199" s="2"/>
    </row>
    <row r="200" spans="5:31" x14ac:dyDescent="0.25">
      <c r="E200" s="1"/>
      <c r="AA200" s="2"/>
      <c r="AB200" s="3"/>
      <c r="AD200" s="1"/>
      <c r="AE200" s="2"/>
    </row>
    <row r="201" spans="5:31" x14ac:dyDescent="0.25">
      <c r="E201" s="1"/>
      <c r="AA201" s="2"/>
      <c r="AB201" s="3"/>
      <c r="AD201" s="1"/>
      <c r="AE201" s="2"/>
    </row>
    <row r="202" spans="5:31" x14ac:dyDescent="0.25">
      <c r="E202" s="1"/>
      <c r="AA202" s="2"/>
      <c r="AB202" s="3"/>
      <c r="AD202" s="1"/>
      <c r="AE202" s="2"/>
    </row>
    <row r="203" spans="5:31" x14ac:dyDescent="0.25">
      <c r="E203" s="1"/>
      <c r="AA203" s="2"/>
      <c r="AB203" s="3"/>
      <c r="AD203" s="1"/>
      <c r="AE203" s="2"/>
    </row>
    <row r="204" spans="5:31" x14ac:dyDescent="0.25">
      <c r="E204" s="1"/>
      <c r="AA204" s="2"/>
      <c r="AB204" s="3"/>
      <c r="AD204" s="1"/>
      <c r="AE204" s="2"/>
    </row>
    <row r="205" spans="5:31" x14ac:dyDescent="0.25">
      <c r="E205" s="1"/>
      <c r="AA205" s="2"/>
      <c r="AB205" s="3"/>
      <c r="AD205" s="1"/>
      <c r="AE205" s="2"/>
    </row>
    <row r="206" spans="5:31" x14ac:dyDescent="0.25">
      <c r="E206" s="1"/>
      <c r="AA206" s="2"/>
      <c r="AB206" s="3"/>
      <c r="AD206" s="1"/>
      <c r="AE206" s="2"/>
    </row>
    <row r="207" spans="5:31" x14ac:dyDescent="0.25">
      <c r="E207" s="1"/>
      <c r="AA207" s="2"/>
      <c r="AB207" s="3"/>
      <c r="AD207" s="1"/>
      <c r="AE207" s="2"/>
    </row>
    <row r="208" spans="5:31" x14ac:dyDescent="0.25">
      <c r="E208" s="1"/>
      <c r="AA208" s="2"/>
      <c r="AB208" s="3"/>
      <c r="AD208" s="1"/>
      <c r="AE208" s="2"/>
    </row>
    <row r="209" spans="5:31" x14ac:dyDescent="0.25">
      <c r="E209" s="1"/>
      <c r="AA209" s="2"/>
      <c r="AB209" s="3"/>
      <c r="AD209" s="1"/>
      <c r="AE209" s="2"/>
    </row>
    <row r="210" spans="5:31" x14ac:dyDescent="0.25">
      <c r="E210" s="1"/>
      <c r="AA210" s="2"/>
      <c r="AB210" s="3"/>
      <c r="AD210" s="1"/>
      <c r="AE210" s="2"/>
    </row>
    <row r="211" spans="5:31" x14ac:dyDescent="0.25">
      <c r="E211" s="1"/>
      <c r="AA211" s="2"/>
      <c r="AB211" s="3"/>
      <c r="AD211" s="1"/>
      <c r="AE211" s="2"/>
    </row>
    <row r="212" spans="5:31" x14ac:dyDescent="0.25">
      <c r="E212" s="1"/>
      <c r="AA212" s="2"/>
      <c r="AB212" s="3"/>
      <c r="AD212" s="1"/>
      <c r="AE212" s="2"/>
    </row>
    <row r="213" spans="5:31" x14ac:dyDescent="0.25">
      <c r="E213" s="1"/>
      <c r="AA213" s="2"/>
      <c r="AB213" s="3"/>
      <c r="AD213" s="1"/>
      <c r="AE213" s="2"/>
    </row>
    <row r="214" spans="5:31" x14ac:dyDescent="0.25">
      <c r="E214" s="1"/>
      <c r="AA214" s="2"/>
      <c r="AB214" s="3"/>
      <c r="AD214" s="1"/>
      <c r="AE214" s="2"/>
    </row>
    <row r="215" spans="5:31" x14ac:dyDescent="0.25">
      <c r="E215" s="1"/>
      <c r="AA215" s="2"/>
      <c r="AB215" s="3"/>
      <c r="AD215" s="1"/>
      <c r="AE215" s="2"/>
    </row>
    <row r="216" spans="5:31" x14ac:dyDescent="0.25">
      <c r="E216" s="1"/>
      <c r="AA216" s="2"/>
      <c r="AB216" s="3"/>
      <c r="AD216" s="1"/>
      <c r="AE216" s="2"/>
    </row>
    <row r="217" spans="5:31" x14ac:dyDescent="0.25">
      <c r="E217" s="1"/>
      <c r="AA217" s="2"/>
      <c r="AB217" s="3"/>
      <c r="AD217" s="1"/>
      <c r="AE217" s="2"/>
    </row>
    <row r="218" spans="5:31" x14ac:dyDescent="0.25">
      <c r="E218" s="1"/>
      <c r="AA218" s="2"/>
      <c r="AB218" s="3"/>
      <c r="AD218" s="1"/>
      <c r="AE218" s="2"/>
    </row>
    <row r="219" spans="5:31" x14ac:dyDescent="0.25">
      <c r="E219" s="1"/>
      <c r="AA219" s="2"/>
      <c r="AB219" s="3"/>
      <c r="AD219" s="1"/>
      <c r="AE219" s="2"/>
    </row>
    <row r="220" spans="5:31" x14ac:dyDescent="0.25">
      <c r="E220" s="1"/>
      <c r="AA220" s="2"/>
      <c r="AB220" s="3"/>
      <c r="AD220" s="1"/>
      <c r="AE220" s="2"/>
    </row>
    <row r="221" spans="5:31" x14ac:dyDescent="0.25">
      <c r="E221" s="1"/>
      <c r="AA221" s="2"/>
      <c r="AB221" s="3"/>
      <c r="AD221" s="1"/>
      <c r="AE221" s="2"/>
    </row>
    <row r="222" spans="5:31" x14ac:dyDescent="0.25">
      <c r="E222" s="1"/>
      <c r="AA222" s="2"/>
      <c r="AB222" s="3"/>
      <c r="AD222" s="1"/>
      <c r="AE222" s="2"/>
    </row>
    <row r="223" spans="5:31" x14ac:dyDescent="0.25">
      <c r="E223" s="1"/>
      <c r="AA223" s="2"/>
      <c r="AB223" s="3"/>
      <c r="AD223" s="1"/>
      <c r="AE223" s="2"/>
    </row>
    <row r="224" spans="5:31" x14ac:dyDescent="0.25">
      <c r="E224" s="1"/>
      <c r="AA224" s="2"/>
      <c r="AB224" s="3"/>
      <c r="AD224" s="1"/>
      <c r="AE224" s="2"/>
    </row>
    <row r="225" spans="5:31" x14ac:dyDescent="0.25">
      <c r="E225" s="1"/>
      <c r="AA225" s="2"/>
      <c r="AB225" s="3"/>
      <c r="AD225" s="1"/>
      <c r="AE225" s="2"/>
    </row>
    <row r="226" spans="5:31" x14ac:dyDescent="0.25">
      <c r="E226" s="1"/>
      <c r="AA226" s="2"/>
      <c r="AB226" s="3"/>
      <c r="AD226" s="1"/>
      <c r="AE226" s="2"/>
    </row>
    <row r="227" spans="5:31" x14ac:dyDescent="0.25">
      <c r="E227" s="1"/>
      <c r="AA227" s="2"/>
      <c r="AB227" s="3"/>
      <c r="AD227" s="1"/>
      <c r="AE227" s="2"/>
    </row>
    <row r="228" spans="5:31" x14ac:dyDescent="0.25">
      <c r="E228" s="1"/>
      <c r="AA228" s="2"/>
      <c r="AB228" s="3"/>
      <c r="AD228" s="1"/>
      <c r="AE228" s="2"/>
    </row>
    <row r="229" spans="5:31" x14ac:dyDescent="0.25">
      <c r="E229" s="1"/>
      <c r="AA229" s="2"/>
      <c r="AB229" s="3"/>
      <c r="AD229" s="1"/>
      <c r="AE229" s="2"/>
    </row>
    <row r="230" spans="5:31" x14ac:dyDescent="0.25">
      <c r="E230" s="1"/>
      <c r="AA230" s="2"/>
      <c r="AB230" s="3"/>
      <c r="AD230" s="1"/>
      <c r="AE230" s="2"/>
    </row>
    <row r="231" spans="5:31" x14ac:dyDescent="0.25">
      <c r="E231" s="1"/>
      <c r="AA231" s="2"/>
      <c r="AB231" s="3"/>
      <c r="AD231" s="1"/>
      <c r="AE231" s="2"/>
    </row>
    <row r="232" spans="5:31" x14ac:dyDescent="0.25">
      <c r="E232" s="1"/>
      <c r="AA232" s="2"/>
      <c r="AB232" s="3"/>
      <c r="AD232" s="1"/>
      <c r="AE232" s="2"/>
    </row>
    <row r="233" spans="5:31" x14ac:dyDescent="0.25">
      <c r="E233" s="1"/>
      <c r="AA233" s="2"/>
      <c r="AB233" s="3"/>
      <c r="AD233" s="1"/>
      <c r="AE233" s="2"/>
    </row>
    <row r="234" spans="5:31" x14ac:dyDescent="0.25">
      <c r="E234" s="1"/>
      <c r="AA234" s="2"/>
      <c r="AB234" s="3"/>
      <c r="AD234" s="1"/>
      <c r="AE234" s="2"/>
    </row>
    <row r="235" spans="5:31" x14ac:dyDescent="0.25">
      <c r="E235" s="1"/>
      <c r="AA235" s="2"/>
      <c r="AB235" s="3"/>
      <c r="AD235" s="1"/>
      <c r="AE235" s="2"/>
    </row>
    <row r="236" spans="5:31" x14ac:dyDescent="0.25">
      <c r="E236" s="1"/>
      <c r="AA236" s="2"/>
      <c r="AB236" s="3"/>
      <c r="AD236" s="1"/>
      <c r="AE236" s="2"/>
    </row>
    <row r="237" spans="5:31" x14ac:dyDescent="0.25">
      <c r="E237" s="1"/>
      <c r="AA237" s="2"/>
      <c r="AB237" s="3"/>
      <c r="AD237" s="1"/>
      <c r="AE237" s="2"/>
    </row>
    <row r="238" spans="5:31" x14ac:dyDescent="0.25">
      <c r="E238" s="1"/>
      <c r="AA238" s="2"/>
      <c r="AB238" s="3"/>
      <c r="AD238" s="1"/>
      <c r="AE238" s="2"/>
    </row>
    <row r="239" spans="5:31" x14ac:dyDescent="0.25">
      <c r="E239" s="1"/>
      <c r="AA239" s="2"/>
      <c r="AB239" s="3"/>
      <c r="AD239" s="1"/>
      <c r="AE239" s="2"/>
    </row>
    <row r="240" spans="5:31" x14ac:dyDescent="0.25">
      <c r="E240" s="1"/>
      <c r="AA240" s="2"/>
      <c r="AB240" s="3"/>
      <c r="AD240" s="1"/>
      <c r="AE240" s="2"/>
    </row>
    <row r="241" spans="5:31" x14ac:dyDescent="0.25">
      <c r="E241" s="1"/>
      <c r="AA241" s="2"/>
      <c r="AB241" s="3"/>
      <c r="AD241" s="1"/>
      <c r="AE241" s="2"/>
    </row>
    <row r="242" spans="5:31" x14ac:dyDescent="0.25">
      <c r="E242" s="1"/>
      <c r="AA242" s="2"/>
      <c r="AB242" s="3"/>
      <c r="AD242" s="1"/>
      <c r="AE242" s="2"/>
    </row>
    <row r="243" spans="5:31" x14ac:dyDescent="0.25">
      <c r="E243" s="1"/>
      <c r="AA243" s="2"/>
      <c r="AB243" s="3"/>
      <c r="AD243" s="1"/>
      <c r="AE243" s="2"/>
    </row>
    <row r="244" spans="5:31" x14ac:dyDescent="0.25">
      <c r="E244" s="1"/>
      <c r="AA244" s="2"/>
      <c r="AB244" s="3"/>
      <c r="AD244" s="1"/>
      <c r="AE244" s="2"/>
    </row>
    <row r="245" spans="5:31" x14ac:dyDescent="0.25">
      <c r="E245" s="1"/>
      <c r="AA245" s="2"/>
      <c r="AB245" s="3"/>
      <c r="AD245" s="1"/>
      <c r="AE245" s="2"/>
    </row>
    <row r="246" spans="5:31" x14ac:dyDescent="0.25">
      <c r="E246" s="1"/>
      <c r="AA246" s="2"/>
      <c r="AB246" s="3"/>
      <c r="AD246" s="1"/>
      <c r="AE246" s="2"/>
    </row>
    <row r="247" spans="5:31" x14ac:dyDescent="0.25">
      <c r="E247" s="1"/>
      <c r="AA247" s="2"/>
      <c r="AB247" s="3"/>
      <c r="AD247" s="1"/>
      <c r="AE247" s="2"/>
    </row>
    <row r="248" spans="5:31" x14ac:dyDescent="0.25">
      <c r="E248" s="1"/>
      <c r="AA248" s="2"/>
      <c r="AB248" s="3"/>
      <c r="AD248" s="1"/>
      <c r="AE248" s="2"/>
    </row>
    <row r="249" spans="5:31" x14ac:dyDescent="0.25">
      <c r="E249" s="1"/>
      <c r="AA249" s="2"/>
      <c r="AB249" s="3"/>
      <c r="AD249" s="1"/>
      <c r="AE249" s="2"/>
    </row>
    <row r="250" spans="5:31" x14ac:dyDescent="0.25">
      <c r="E250" s="1"/>
      <c r="AA250" s="2"/>
      <c r="AB250" s="3"/>
      <c r="AD250" s="1"/>
      <c r="AE250" s="2"/>
    </row>
    <row r="251" spans="5:31" x14ac:dyDescent="0.25">
      <c r="E251" s="1"/>
      <c r="AA251" s="2"/>
      <c r="AB251" s="3"/>
      <c r="AD251" s="1"/>
      <c r="AE251" s="2"/>
    </row>
    <row r="252" spans="5:31" x14ac:dyDescent="0.25">
      <c r="E252" s="1"/>
      <c r="AA252" s="2"/>
      <c r="AB252" s="3"/>
      <c r="AD252" s="1"/>
      <c r="AE252" s="2"/>
    </row>
    <row r="253" spans="5:31" x14ac:dyDescent="0.25">
      <c r="E253" s="1"/>
      <c r="AA253" s="2"/>
      <c r="AB253" s="3"/>
      <c r="AD253" s="1"/>
      <c r="AE253" s="2"/>
    </row>
    <row r="254" spans="5:31" x14ac:dyDescent="0.25">
      <c r="E254" s="1"/>
      <c r="AA254" s="2"/>
      <c r="AB254" s="3"/>
      <c r="AD254" s="1"/>
      <c r="AE254" s="2"/>
    </row>
    <row r="255" spans="5:31" x14ac:dyDescent="0.25">
      <c r="E255" s="1"/>
      <c r="AA255" s="2"/>
      <c r="AB255" s="3"/>
      <c r="AD255" s="1"/>
      <c r="AE255" s="2"/>
    </row>
    <row r="256" spans="5:31" x14ac:dyDescent="0.25">
      <c r="E256" s="1"/>
      <c r="AA256" s="2"/>
      <c r="AB256" s="3"/>
      <c r="AD256" s="1"/>
      <c r="AE256" s="2"/>
    </row>
    <row r="257" spans="5:31" x14ac:dyDescent="0.25">
      <c r="E257" s="1"/>
      <c r="AA257" s="2"/>
      <c r="AB257" s="3"/>
      <c r="AD257" s="1"/>
      <c r="AE257" s="2"/>
    </row>
    <row r="258" spans="5:31" x14ac:dyDescent="0.25">
      <c r="E258" s="1"/>
      <c r="AA258" s="2"/>
      <c r="AB258" s="3"/>
      <c r="AD258" s="1"/>
      <c r="AE258" s="2"/>
    </row>
    <row r="259" spans="5:31" x14ac:dyDescent="0.25">
      <c r="E259" s="1"/>
      <c r="AA259" s="2"/>
      <c r="AB259" s="3"/>
      <c r="AD259" s="1"/>
      <c r="AE259" s="2"/>
    </row>
    <row r="260" spans="5:31" x14ac:dyDescent="0.25">
      <c r="E260" s="1"/>
      <c r="AA260" s="2"/>
      <c r="AB260" s="3"/>
      <c r="AD260" s="1"/>
      <c r="AE260" s="2"/>
    </row>
    <row r="261" spans="5:31" x14ac:dyDescent="0.25">
      <c r="E261" s="1"/>
      <c r="AA261" s="2"/>
      <c r="AB261" s="3"/>
      <c r="AD261" s="1"/>
      <c r="AE261" s="2"/>
    </row>
    <row r="262" spans="5:31" x14ac:dyDescent="0.25">
      <c r="E262" s="1"/>
      <c r="AA262" s="2"/>
      <c r="AB262" s="3"/>
      <c r="AD262" s="1"/>
      <c r="AE262" s="2"/>
    </row>
    <row r="263" spans="5:31" x14ac:dyDescent="0.25">
      <c r="E263" s="1"/>
      <c r="AA263" s="2"/>
      <c r="AB263" s="3"/>
      <c r="AD263" s="1"/>
      <c r="AE263" s="2"/>
    </row>
    <row r="264" spans="5:31" x14ac:dyDescent="0.25">
      <c r="E264" s="1"/>
      <c r="AA264" s="2"/>
      <c r="AB264" s="3"/>
      <c r="AD264" s="1"/>
      <c r="AE264" s="2"/>
    </row>
    <row r="265" spans="5:31" x14ac:dyDescent="0.25">
      <c r="E265" s="1"/>
      <c r="AA265" s="2"/>
      <c r="AB265" s="3"/>
      <c r="AD265" s="1"/>
      <c r="AE265" s="2"/>
    </row>
    <row r="266" spans="5:31" x14ac:dyDescent="0.25">
      <c r="E266" s="1"/>
      <c r="AA266" s="2"/>
      <c r="AB266" s="3"/>
      <c r="AD266" s="1"/>
      <c r="AE266" s="2"/>
    </row>
    <row r="267" spans="5:31" x14ac:dyDescent="0.25">
      <c r="E267" s="1"/>
      <c r="AA267" s="2"/>
      <c r="AB267" s="3"/>
      <c r="AD267" s="1"/>
      <c r="AE267" s="2"/>
    </row>
    <row r="268" spans="5:31" x14ac:dyDescent="0.25">
      <c r="E268" s="1"/>
      <c r="AA268" s="2"/>
      <c r="AB268" s="3"/>
      <c r="AD268" s="1"/>
      <c r="AE268" s="2"/>
    </row>
    <row r="269" spans="5:31" x14ac:dyDescent="0.25">
      <c r="E269" s="1"/>
      <c r="AA269" s="2"/>
      <c r="AB269" s="3"/>
      <c r="AD269" s="1"/>
      <c r="AE269" s="2"/>
    </row>
    <row r="270" spans="5:31" x14ac:dyDescent="0.25">
      <c r="E270" s="1"/>
      <c r="AA270" s="2"/>
      <c r="AB270" s="3"/>
      <c r="AD270" s="1"/>
      <c r="AE270" s="2"/>
    </row>
    <row r="271" spans="5:31" x14ac:dyDescent="0.25">
      <c r="E271" s="1"/>
      <c r="AA271" s="2"/>
      <c r="AB271" s="3"/>
      <c r="AD271" s="1"/>
      <c r="AE271" s="2"/>
    </row>
    <row r="272" spans="5:31" x14ac:dyDescent="0.25">
      <c r="E272" s="1"/>
      <c r="AA272" s="2"/>
      <c r="AB272" s="3"/>
      <c r="AD272" s="1"/>
      <c r="AE272" s="2"/>
    </row>
    <row r="273" spans="5:31" x14ac:dyDescent="0.25">
      <c r="E273" s="1"/>
      <c r="AA273" s="2"/>
      <c r="AB273" s="3"/>
      <c r="AD273" s="1"/>
      <c r="AE273" s="2"/>
    </row>
    <row r="274" spans="5:31" x14ac:dyDescent="0.25">
      <c r="E274" s="1"/>
      <c r="AA274" s="2"/>
      <c r="AB274" s="3"/>
      <c r="AD274" s="1"/>
      <c r="AE274" s="2"/>
    </row>
    <row r="275" spans="5:31" x14ac:dyDescent="0.25">
      <c r="E275" s="1"/>
      <c r="AA275" s="2"/>
      <c r="AB275" s="3"/>
      <c r="AD275" s="1"/>
      <c r="AE275" s="2"/>
    </row>
    <row r="276" spans="5:31" x14ac:dyDescent="0.25">
      <c r="E276" s="1"/>
      <c r="AA276" s="2"/>
      <c r="AB276" s="3"/>
      <c r="AD276" s="1"/>
      <c r="AE276" s="2"/>
    </row>
    <row r="277" spans="5:31" x14ac:dyDescent="0.25">
      <c r="E277" s="1"/>
      <c r="AA277" s="2"/>
      <c r="AB277" s="3"/>
      <c r="AD277" s="1"/>
      <c r="AE277" s="2"/>
    </row>
    <row r="278" spans="5:31" x14ac:dyDescent="0.25">
      <c r="E278" s="1"/>
      <c r="AA278" s="2"/>
      <c r="AB278" s="3"/>
      <c r="AD278" s="1"/>
      <c r="AE278" s="2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topLeftCell="H1" workbookViewId="0">
      <selection activeCell="A30" sqref="A30:XFD39"/>
    </sheetView>
  </sheetViews>
  <sheetFormatPr defaultRowHeight="15" x14ac:dyDescent="0.25"/>
  <cols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1048</v>
      </c>
      <c r="E1" t="s">
        <v>77</v>
      </c>
      <c r="F1" t="s">
        <v>78</v>
      </c>
      <c r="G1" t="s">
        <v>1049</v>
      </c>
      <c r="H1" t="s">
        <v>72</v>
      </c>
      <c r="I1" t="s">
        <v>93</v>
      </c>
      <c r="J1" t="s">
        <v>1050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926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927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928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929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930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931</v>
      </c>
      <c r="C11">
        <v>242.36949530000001</v>
      </c>
      <c r="D11" t="s">
        <v>932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933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934</v>
      </c>
      <c r="C12">
        <v>280.22777000000002</v>
      </c>
      <c r="D12" t="s">
        <v>932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935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936</v>
      </c>
      <c r="C13">
        <v>274.67577669999997</v>
      </c>
      <c r="D13" t="s">
        <v>932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937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938</v>
      </c>
      <c r="C14">
        <v>402.79350299999999</v>
      </c>
      <c r="D14" t="s">
        <v>939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940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941</v>
      </c>
      <c r="C15">
        <v>244.65450000000001</v>
      </c>
      <c r="D15" t="s">
        <v>939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942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943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944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945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946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947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948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949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950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951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952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953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954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955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956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957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958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959</v>
      </c>
      <c r="C24">
        <v>955.14002410000001</v>
      </c>
      <c r="D24" t="s">
        <v>932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960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961</v>
      </c>
      <c r="C25">
        <v>842.16137470000001</v>
      </c>
      <c r="D25" t="s">
        <v>932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962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x14ac:dyDescent="0.25">
      <c r="A26" t="s">
        <v>723</v>
      </c>
      <c r="B26" t="s">
        <v>963</v>
      </c>
      <c r="C26">
        <v>930.75682059999997</v>
      </c>
      <c r="D26" t="s">
        <v>932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964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965</v>
      </c>
      <c r="C27">
        <v>721.79075709999995</v>
      </c>
      <c r="D27" t="s">
        <v>932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966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967</v>
      </c>
      <c r="C28">
        <v>979.63927969999997</v>
      </c>
      <c r="D28" t="s">
        <v>939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968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969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970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971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972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973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974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975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976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977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978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979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980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981</v>
      </c>
      <c r="C35">
        <v>1632.9044449999999</v>
      </c>
      <c r="D35" t="s">
        <v>932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982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983</v>
      </c>
      <c r="C36">
        <v>1683.957717</v>
      </c>
      <c r="D36" t="s">
        <v>932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984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985</v>
      </c>
      <c r="C37">
        <v>1636.343828</v>
      </c>
      <c r="D37" t="s">
        <v>932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986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987</v>
      </c>
      <c r="C38">
        <v>1141.3714219999999</v>
      </c>
      <c r="D38" t="s">
        <v>932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988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989</v>
      </c>
      <c r="C39">
        <v>1851.565439</v>
      </c>
      <c r="D39" t="s">
        <v>939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990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991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993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994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996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997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999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1000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1002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1003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1005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1006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1007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1008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1010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1011</v>
      </c>
      <c r="C47">
        <v>2550.6261</v>
      </c>
      <c r="D47" t="s">
        <v>932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1013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1014</v>
      </c>
      <c r="C48">
        <v>2487.9696090000002</v>
      </c>
      <c r="D48" t="s">
        <v>932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1015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1016</v>
      </c>
      <c r="C49">
        <v>2183.1498350000002</v>
      </c>
      <c r="D49" t="s">
        <v>932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1017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1018</v>
      </c>
      <c r="C50">
        <v>2323.5344399999999</v>
      </c>
      <c r="D50" t="s">
        <v>932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1020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1021</v>
      </c>
      <c r="C51">
        <v>1927.1864619999999</v>
      </c>
      <c r="D51" t="s">
        <v>939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1023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1024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1025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1026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1027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1028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1029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1030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1031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1032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1033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1034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1035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1036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1037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1038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1039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1040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1041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1042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1043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1044</v>
      </c>
      <c r="C62">
        <v>684.65656000000001</v>
      </c>
      <c r="D62" t="s">
        <v>932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1045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1046</v>
      </c>
      <c r="C63">
        <v>878.57743909999999</v>
      </c>
      <c r="D63" t="s">
        <v>939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1047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13"/>
  <sheetViews>
    <sheetView workbookViewId="0">
      <selection activeCell="I24" sqref="I24"/>
    </sheetView>
  </sheetViews>
  <sheetFormatPr defaultRowHeight="15" x14ac:dyDescent="0.25"/>
  <cols>
    <col min="4" max="4" width="12.7109375" customWidth="1"/>
    <col min="5" max="5" width="10.42578125" bestFit="1" customWidth="1"/>
    <col min="9" max="9" width="21.7109375" style="6" customWidth="1"/>
    <col min="20" max="20" width="16.85546875" style="6" bestFit="1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1053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1052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f t="shared" ref="V2:V8" si="0">I2*2</f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45838</v>
      </c>
      <c r="E3" s="1">
        <v>45889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f t="shared" si="0"/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45838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f t="shared" si="0"/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45838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f t="shared" si="0"/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45838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f t="shared" si="0"/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45838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f t="shared" si="0"/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45838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f t="shared" si="0"/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45483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14561.66</v>
      </c>
      <c r="L9">
        <v>18146.310000000001</v>
      </c>
      <c r="M9">
        <v>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f>I9*2</f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45467</v>
      </c>
      <c r="E10" s="1">
        <v>45489</v>
      </c>
      <c r="F10">
        <v>188.33</v>
      </c>
      <c r="G10">
        <v>3</v>
      </c>
      <c r="H10" t="s">
        <v>909</v>
      </c>
      <c r="I10" s="6">
        <v>1825</v>
      </c>
      <c r="J10">
        <v>1796.07</v>
      </c>
      <c r="K10">
        <v>1618.23</v>
      </c>
      <c r="L10">
        <v>2027.91</v>
      </c>
      <c r="M10">
        <v>204.84</v>
      </c>
      <c r="N10">
        <v>122.37</v>
      </c>
      <c r="O10">
        <v>70.650000000000006</v>
      </c>
      <c r="P10">
        <v>1754.35</v>
      </c>
      <c r="Q10">
        <v>1895.65</v>
      </c>
      <c r="R10">
        <v>1608.32</v>
      </c>
      <c r="S10">
        <v>2041.68</v>
      </c>
      <c r="T10" s="6">
        <v>216.68</v>
      </c>
      <c r="U10">
        <v>23.7</v>
      </c>
      <c r="V10">
        <f t="shared" ref="V10:V13" si="1">I10*2</f>
        <v>3650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45467</v>
      </c>
      <c r="E11" s="1">
        <v>45467</v>
      </c>
      <c r="F11">
        <v>176</v>
      </c>
      <c r="G11">
        <v>1</v>
      </c>
      <c r="H11" t="s">
        <v>908</v>
      </c>
      <c r="I11" s="6">
        <v>5029.93</v>
      </c>
      <c r="J11">
        <v>5029.93</v>
      </c>
      <c r="K11">
        <v>4436.88</v>
      </c>
      <c r="L11">
        <v>5600.13</v>
      </c>
      <c r="M11">
        <v>581.62</v>
      </c>
      <c r="R11">
        <v>4448.3100000000004</v>
      </c>
      <c r="S11">
        <v>5611.55</v>
      </c>
      <c r="T11" s="6">
        <v>581.62</v>
      </c>
      <c r="U11">
        <v>23.1</v>
      </c>
      <c r="V11">
        <f t="shared" si="1"/>
        <v>10059.86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4715.57</v>
      </c>
      <c r="L12">
        <v>5806.73</v>
      </c>
      <c r="M12">
        <v>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f t="shared" si="1"/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9264.18</v>
      </c>
      <c r="L13">
        <v>11396.65</v>
      </c>
      <c r="M13">
        <v>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f t="shared" si="1"/>
        <v>20682.48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M27" sqref="M27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1051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10" sqref="A10:XFD11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1056</v>
      </c>
      <c r="B1" t="s">
        <v>68</v>
      </c>
      <c r="C1" t="s">
        <v>69</v>
      </c>
      <c r="D1" s="6" t="s">
        <v>1057</v>
      </c>
      <c r="E1" t="s">
        <v>75</v>
      </c>
      <c r="F1" t="s">
        <v>72</v>
      </c>
      <c r="G1" t="s">
        <v>1058</v>
      </c>
      <c r="H1" t="s">
        <v>1059</v>
      </c>
      <c r="I1" t="s">
        <v>1060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1061</v>
      </c>
      <c r="H2" t="s">
        <v>1062</v>
      </c>
      <c r="I2" t="s">
        <v>1063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1061</v>
      </c>
      <c r="H3" t="s">
        <v>1062</v>
      </c>
      <c r="I3" t="s">
        <v>1063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1061</v>
      </c>
      <c r="H4" t="s">
        <v>1062</v>
      </c>
      <c r="I4" t="s">
        <v>1064</v>
      </c>
      <c r="J4" t="s">
        <v>1065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1061</v>
      </c>
      <c r="H5" t="s">
        <v>1066</v>
      </c>
      <c r="I5" t="s">
        <v>1064</v>
      </c>
      <c r="J5" t="s">
        <v>1065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1061</v>
      </c>
      <c r="H6" t="s">
        <v>1062</v>
      </c>
      <c r="I6" t="s">
        <v>1064</v>
      </c>
      <c r="J6" t="s">
        <v>1067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1061</v>
      </c>
      <c r="H7" t="s">
        <v>1066</v>
      </c>
      <c r="I7" t="s">
        <v>1064</v>
      </c>
      <c r="J7" t="s">
        <v>1067</v>
      </c>
    </row>
    <row r="8" spans="1:10" x14ac:dyDescent="0.25">
      <c r="A8" t="s">
        <v>1068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1061</v>
      </c>
      <c r="H8" t="s">
        <v>1062</v>
      </c>
      <c r="I8" t="s">
        <v>1063</v>
      </c>
      <c r="J8" t="s">
        <v>1069</v>
      </c>
    </row>
    <row r="9" spans="1:10" x14ac:dyDescent="0.25">
      <c r="A9" t="s">
        <v>1068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1061</v>
      </c>
      <c r="H9" t="s">
        <v>1062</v>
      </c>
      <c r="I9" t="s">
        <v>1063</v>
      </c>
      <c r="J9" t="s">
        <v>1069</v>
      </c>
    </row>
    <row r="10" spans="1:10" x14ac:dyDescent="0.25">
      <c r="A10" t="s">
        <v>1070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1061</v>
      </c>
      <c r="H10" t="s">
        <v>1062</v>
      </c>
      <c r="I10" t="s">
        <v>1063</v>
      </c>
      <c r="J10" t="s">
        <v>1069</v>
      </c>
    </row>
    <row r="11" spans="1:10" x14ac:dyDescent="0.25">
      <c r="A11" t="s">
        <v>1070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1061</v>
      </c>
      <c r="H11" t="s">
        <v>1062</v>
      </c>
      <c r="I11" t="s">
        <v>1063</v>
      </c>
      <c r="J11" t="s">
        <v>1069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I24" sqref="I24"/>
    </sheetView>
  </sheetViews>
  <sheetFormatPr defaultRowHeight="15" x14ac:dyDescent="0.25"/>
  <cols>
    <col min="3" max="3" width="20.8554687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1054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1055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workbookViewId="0">
      <selection activeCell="M29" sqref="M29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workbookViewId="0">
      <pane ySplit="1" topLeftCell="A2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1071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1071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1071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1071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1071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1071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1071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1071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1071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  <vt:lpstr>combined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2026-09-01T23:17:02Z</dcterms:modified>
</cp:coreProperties>
</file>